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0" documentId="8_{0D2FC0CD-F18C-45B4-8BEF-5653A124445D}" xr6:coauthVersionLast="47" xr6:coauthVersionMax="47" xr10:uidLastSave="{00000000-0000-0000-0000-000000000000}"/>
  <bookViews>
    <workbookView xWindow="240" yWindow="15" windowWidth="16095" windowHeight="9660" firstSheet="4" activeTab="4" xr2:uid="{00000000-000D-0000-FFFF-FFFF00000000}"/>
  </bookViews>
  <sheets>
    <sheet name="SIR Model" sheetId="2" r:id="rId1"/>
    <sheet name="Lotka-Volterra Model" sheetId="3" r:id="rId2"/>
    <sheet name="Resource Depletion &amp; Regenerati" sheetId="4" r:id="rId3"/>
    <sheet name="RC Circuit Model" sheetId="5" r:id="rId4"/>
    <sheet name="Reflection"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5" l="1"/>
  <c r="B81" i="5"/>
  <c r="B82" i="5" s="1"/>
  <c r="B83" i="5" s="1"/>
  <c r="B84" i="5" s="1"/>
  <c r="B85" i="5" s="1"/>
  <c r="B86" i="5" s="1"/>
  <c r="B87" i="5" s="1"/>
  <c r="B88" i="5" s="1"/>
  <c r="B89" i="5" s="1"/>
  <c r="B90" i="5" s="1"/>
  <c r="B91" i="5" s="1"/>
  <c r="B92" i="5" s="1"/>
  <c r="B93" i="5" s="1"/>
  <c r="B94" i="5" s="1"/>
  <c r="B95" i="5" s="1"/>
  <c r="B96" i="5" s="1"/>
  <c r="B97" i="5" s="1"/>
  <c r="B98" i="5" s="1"/>
  <c r="B99" i="5" s="1"/>
  <c r="B57" i="5"/>
  <c r="B58" i="5" s="1"/>
  <c r="B59" i="5" s="1"/>
  <c r="B60" i="5" s="1"/>
  <c r="B61" i="5" s="1"/>
  <c r="B62" i="5" s="1"/>
  <c r="B63" i="5" s="1"/>
  <c r="B64" i="5" s="1"/>
  <c r="B65" i="5" s="1"/>
  <c r="B66" i="5" s="1"/>
  <c r="B67" i="5" s="1"/>
  <c r="B68" i="5" s="1"/>
  <c r="B69" i="5" s="1"/>
  <c r="B70" i="5" s="1"/>
  <c r="B71" i="5" s="1"/>
  <c r="B72" i="5" s="1"/>
  <c r="B73" i="5" s="1"/>
  <c r="B74" i="5" s="1"/>
  <c r="B75" i="5" s="1"/>
  <c r="B76" i="5" s="1"/>
  <c r="B34" i="5"/>
  <c r="B35" i="5" s="1"/>
  <c r="B36" i="5" s="1"/>
  <c r="B37" i="5" s="1"/>
  <c r="B38" i="5" s="1"/>
  <c r="B39" i="5" s="1"/>
  <c r="B40" i="5" s="1"/>
  <c r="B41" i="5" s="1"/>
  <c r="B42" i="5" s="1"/>
  <c r="B43" i="5" s="1"/>
  <c r="B44" i="5" s="1"/>
  <c r="B45" i="5" s="1"/>
  <c r="B46" i="5" s="1"/>
  <c r="B47" i="5" s="1"/>
  <c r="B48" i="5" s="1"/>
  <c r="B49" i="5" s="1"/>
  <c r="B50" i="5" s="1"/>
  <c r="B51" i="5" s="1"/>
  <c r="B52" i="5" s="1"/>
  <c r="B53" i="5" s="1"/>
  <c r="B4" i="5"/>
  <c r="B5" i="5" s="1"/>
  <c r="B6" i="5" s="1"/>
  <c r="B7" i="5" s="1"/>
  <c r="B8" i="5" s="1"/>
  <c r="B9" i="5" s="1"/>
  <c r="B10" i="5" s="1"/>
  <c r="B11" i="5" s="1"/>
  <c r="B12" i="5" s="1"/>
  <c r="B13" i="5" s="1"/>
  <c r="B14" i="5" s="1"/>
  <c r="B15" i="5" s="1"/>
  <c r="B16" i="5" s="1"/>
  <c r="B17" i="5" s="1"/>
  <c r="B18" i="5" s="1"/>
  <c r="B19" i="5" s="1"/>
  <c r="B20" i="5" s="1"/>
  <c r="B21" i="5" s="1"/>
  <c r="B22" i="5" s="1"/>
  <c r="B23" i="5" s="1"/>
  <c r="C4" i="2"/>
  <c r="B43" i="4"/>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4" i="4"/>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C74" i="3"/>
  <c r="B74" i="3"/>
  <c r="B75" i="3" s="1"/>
  <c r="C41" i="3"/>
  <c r="B41" i="3"/>
  <c r="B42" i="3" s="1"/>
  <c r="C4" i="3"/>
  <c r="B4" i="3"/>
  <c r="B5" i="3" s="1"/>
  <c r="D4" i="2"/>
  <c r="B4" i="2"/>
  <c r="B5" i="2" s="1"/>
  <c r="C5" i="2" l="1"/>
  <c r="D5" i="2"/>
  <c r="D6" i="2" s="1"/>
  <c r="C75" i="3"/>
  <c r="C42" i="3"/>
  <c r="C5" i="3"/>
  <c r="C6" i="2" l="1"/>
  <c r="B6" i="2"/>
  <c r="B7" i="2" s="1"/>
  <c r="C76" i="3"/>
  <c r="B76" i="3"/>
  <c r="B77" i="3" s="1"/>
  <c r="C43" i="3"/>
  <c r="B43" i="3"/>
  <c r="B44" i="3" s="1"/>
  <c r="C6" i="3"/>
  <c r="B6" i="3"/>
  <c r="C7" i="2" l="1"/>
  <c r="D7" i="2"/>
  <c r="D8" i="2" s="1"/>
  <c r="C77" i="3"/>
  <c r="C44" i="3"/>
  <c r="C7" i="3"/>
  <c r="B7" i="3"/>
  <c r="B8" i="3" s="1"/>
  <c r="C8" i="2" l="1"/>
  <c r="B8" i="2"/>
  <c r="B9" i="2" s="1"/>
  <c r="C78" i="3"/>
  <c r="B78" i="3"/>
  <c r="B79" i="3" s="1"/>
  <c r="C45" i="3"/>
  <c r="B45" i="3"/>
  <c r="B46" i="3" s="1"/>
  <c r="C8" i="3"/>
  <c r="C9" i="2" l="1"/>
  <c r="D9" i="2"/>
  <c r="D10" i="2" s="1"/>
  <c r="C79" i="3"/>
  <c r="C46" i="3"/>
  <c r="C9" i="3"/>
  <c r="B9" i="3"/>
  <c r="B10" i="3" s="1"/>
  <c r="C10" i="2" l="1"/>
  <c r="B10" i="2"/>
  <c r="B11" i="2" s="1"/>
  <c r="C80" i="3"/>
  <c r="B80" i="3"/>
  <c r="B81" i="3" s="1"/>
  <c r="C47" i="3"/>
  <c r="B47" i="3"/>
  <c r="B48" i="3" s="1"/>
  <c r="C10" i="3"/>
  <c r="C11" i="2" l="1"/>
  <c r="D11" i="2"/>
  <c r="D12" i="2" s="1"/>
  <c r="C81" i="3"/>
  <c r="C48" i="3"/>
  <c r="C11" i="3"/>
  <c r="B11" i="3"/>
  <c r="B12" i="3" s="1"/>
  <c r="C12" i="2" l="1"/>
  <c r="B12" i="2"/>
  <c r="B13" i="2" s="1"/>
  <c r="C82" i="3"/>
  <c r="B82" i="3"/>
  <c r="B83" i="3" s="1"/>
  <c r="C49" i="3"/>
  <c r="B49" i="3"/>
  <c r="B50" i="3" s="1"/>
  <c r="C12" i="3"/>
  <c r="C13" i="2" l="1"/>
  <c r="D13" i="2"/>
  <c r="D14" i="2" s="1"/>
  <c r="C83" i="3"/>
  <c r="C50" i="3"/>
  <c r="C13" i="3"/>
  <c r="B13" i="3"/>
  <c r="B14" i="3" s="1"/>
  <c r="C14" i="2" l="1"/>
  <c r="B14" i="2"/>
  <c r="B15" i="2" s="1"/>
  <c r="C84" i="3"/>
  <c r="B84" i="3"/>
  <c r="B85" i="3" s="1"/>
  <c r="C51" i="3"/>
  <c r="B51" i="3"/>
  <c r="B52" i="3" s="1"/>
  <c r="C14" i="3"/>
  <c r="C15" i="2" l="1"/>
  <c r="D15" i="2"/>
  <c r="D16" i="2" s="1"/>
  <c r="C85" i="3"/>
  <c r="C52" i="3"/>
  <c r="C15" i="3"/>
  <c r="B15" i="3"/>
  <c r="B16" i="3" s="1"/>
  <c r="C16" i="2" l="1"/>
  <c r="B16" i="2"/>
  <c r="B17" i="2" s="1"/>
  <c r="C86" i="3"/>
  <c r="B86" i="3"/>
  <c r="B87" i="3" s="1"/>
  <c r="C53" i="3"/>
  <c r="B53" i="3"/>
  <c r="B54" i="3" s="1"/>
  <c r="C16" i="3"/>
  <c r="C17" i="2" l="1"/>
  <c r="D17" i="2"/>
  <c r="D18" i="2" s="1"/>
  <c r="C87" i="3"/>
  <c r="C54" i="3"/>
  <c r="C17" i="3"/>
  <c r="B17" i="3"/>
  <c r="B18" i="3" s="1"/>
  <c r="C18" i="2" l="1"/>
  <c r="B18" i="2"/>
  <c r="B19" i="2" s="1"/>
  <c r="C88" i="3"/>
  <c r="B88" i="3"/>
  <c r="B89" i="3" s="1"/>
  <c r="C55" i="3"/>
  <c r="B55" i="3"/>
  <c r="B56" i="3" s="1"/>
  <c r="C18" i="3"/>
  <c r="C19" i="2" l="1"/>
  <c r="D19" i="2"/>
  <c r="D20" i="2" s="1"/>
  <c r="C89" i="3"/>
  <c r="C56" i="3"/>
  <c r="C19" i="3"/>
  <c r="B19" i="3"/>
  <c r="B20" i="3" s="1"/>
  <c r="C20" i="2" l="1"/>
  <c r="B20" i="2"/>
  <c r="B21" i="2" s="1"/>
  <c r="C90" i="3"/>
  <c r="B90" i="3"/>
  <c r="B91" i="3" s="1"/>
  <c r="C57" i="3"/>
  <c r="B57" i="3"/>
  <c r="B58" i="3" s="1"/>
  <c r="C20" i="3"/>
  <c r="C21" i="2" l="1"/>
  <c r="D21" i="2"/>
  <c r="D22" i="2" s="1"/>
  <c r="C91" i="3"/>
  <c r="C58" i="3"/>
  <c r="C21" i="3"/>
  <c r="B21" i="3"/>
  <c r="B22" i="3" s="1"/>
  <c r="C22" i="2" l="1"/>
  <c r="B22" i="2"/>
  <c r="B23" i="2" s="1"/>
  <c r="C92" i="3"/>
  <c r="B92" i="3"/>
  <c r="B93" i="3" s="1"/>
  <c r="C59" i="3"/>
  <c r="B59" i="3"/>
  <c r="B60" i="3" s="1"/>
  <c r="C22" i="3"/>
  <c r="C23" i="2" l="1"/>
  <c r="D23" i="2"/>
  <c r="D24" i="2" s="1"/>
  <c r="C93" i="3"/>
  <c r="C60" i="3"/>
  <c r="B23" i="3"/>
  <c r="C23" i="3"/>
  <c r="C24" i="3" s="1"/>
  <c r="C24" i="2" l="1"/>
  <c r="B24" i="2"/>
  <c r="B25" i="2" s="1"/>
  <c r="C94" i="3"/>
  <c r="B94" i="3"/>
  <c r="B95" i="3" s="1"/>
  <c r="C61" i="3"/>
  <c r="B61" i="3"/>
  <c r="B62" i="3" s="1"/>
  <c r="B24" i="3"/>
  <c r="C25" i="2" l="1"/>
  <c r="D25" i="2"/>
  <c r="D26" i="2" s="1"/>
  <c r="C95" i="3"/>
  <c r="C62" i="3"/>
  <c r="B25" i="3"/>
  <c r="C25" i="3"/>
  <c r="C26" i="3" s="1"/>
  <c r="C26" i="2" l="1"/>
  <c r="B26" i="2"/>
  <c r="B27" i="2" s="1"/>
  <c r="C96" i="3"/>
  <c r="B96" i="3"/>
  <c r="B97" i="3" s="1"/>
  <c r="C63" i="3"/>
  <c r="B63" i="3"/>
  <c r="B64" i="3" s="1"/>
  <c r="B26" i="3"/>
  <c r="C27" i="2" l="1"/>
  <c r="D27" i="2"/>
  <c r="D28" i="2" s="1"/>
  <c r="C97" i="3"/>
  <c r="C64" i="3"/>
  <c r="B27" i="3"/>
  <c r="C27" i="3"/>
  <c r="C28" i="3" s="1"/>
  <c r="C28" i="2" l="1"/>
  <c r="B28" i="2"/>
  <c r="B29" i="2" s="1"/>
  <c r="C98" i="3"/>
  <c r="B98" i="3"/>
  <c r="B99" i="3" s="1"/>
  <c r="C65" i="3"/>
  <c r="B65" i="3"/>
  <c r="B66" i="3" s="1"/>
  <c r="B28" i="3"/>
  <c r="C29" i="2" l="1"/>
  <c r="D29" i="2"/>
  <c r="D30" i="2" s="1"/>
  <c r="C99" i="3"/>
  <c r="C66" i="3"/>
  <c r="B29" i="3"/>
  <c r="C29" i="3"/>
  <c r="C30" i="3" s="1"/>
  <c r="C30" i="2" l="1"/>
  <c r="B30" i="2"/>
  <c r="B31" i="2" s="1"/>
  <c r="C100" i="3"/>
  <c r="B100" i="3"/>
  <c r="B101" i="3" s="1"/>
  <c r="C67" i="3"/>
  <c r="B67" i="3"/>
  <c r="B68" i="3" s="1"/>
  <c r="B30" i="3"/>
  <c r="C31" i="2" l="1"/>
  <c r="D31" i="2"/>
  <c r="D32" i="2" s="1"/>
  <c r="C101" i="3"/>
  <c r="C68" i="3"/>
  <c r="B31" i="3"/>
  <c r="C31" i="3"/>
  <c r="C32" i="3" s="1"/>
  <c r="C32" i="2" l="1"/>
  <c r="B32" i="2"/>
  <c r="B33" i="2" s="1"/>
  <c r="C102" i="3"/>
  <c r="B102" i="3"/>
  <c r="B103" i="3" s="1"/>
  <c r="C69" i="3"/>
  <c r="B69" i="3"/>
  <c r="B70" i="3" s="1"/>
  <c r="B32" i="3"/>
  <c r="C33" i="2" l="1"/>
  <c r="D33" i="2"/>
  <c r="D34" i="2" s="1"/>
  <c r="C103" i="3"/>
  <c r="C70" i="3"/>
  <c r="B33" i="3"/>
  <c r="C33" i="3"/>
  <c r="C34" i="2" l="1"/>
  <c r="B34" i="2"/>
  <c r="B35" i="2" s="1"/>
  <c r="C35" i="2" l="1"/>
  <c r="D35" i="2"/>
  <c r="D36" i="2" s="1"/>
  <c r="C36" i="2" l="1"/>
  <c r="B36" i="2"/>
  <c r="B37" i="2" s="1"/>
  <c r="C37" i="2" l="1"/>
  <c r="D37" i="2"/>
  <c r="D38" i="2" s="1"/>
  <c r="C38" i="2" l="1"/>
  <c r="B38" i="2"/>
  <c r="B39" i="2" s="1"/>
  <c r="C39" i="2" l="1"/>
  <c r="D39" i="2"/>
  <c r="D40" i="2" s="1"/>
  <c r="C40" i="2" l="1"/>
  <c r="B40" i="2"/>
  <c r="B41" i="2" s="1"/>
  <c r="C41" i="2" l="1"/>
  <c r="D41" i="2"/>
  <c r="D42" i="2" s="1"/>
  <c r="C42" i="2" l="1"/>
  <c r="B42" i="2"/>
  <c r="B43" i="2" s="1"/>
  <c r="C43" i="2" l="1"/>
  <c r="G6" i="2" s="1"/>
  <c r="D43" i="2"/>
</calcChain>
</file>

<file path=xl/sharedStrings.xml><?xml version="1.0" encoding="utf-8"?>
<sst xmlns="http://schemas.openxmlformats.org/spreadsheetml/2006/main" count="57" uniqueCount="30">
  <si>
    <t>Spread of an Infectious Disease (SIR Model)</t>
  </si>
  <si>
    <t>Time</t>
  </si>
  <si>
    <t>Susceptible</t>
  </si>
  <si>
    <t>Infected</t>
  </si>
  <si>
    <t>Recovered</t>
  </si>
  <si>
    <t>β</t>
  </si>
  <si>
    <t>γ</t>
  </si>
  <si>
    <t>Total Population</t>
  </si>
  <si>
    <t>Infected (Max)</t>
  </si>
  <si>
    <t xml:space="preserve">The number of infected individuals reaches its maximum value at Day 21 (t = 21) with approximately </t>
  </si>
  <si>
    <t>42.68% of the population infected (I ≈ 0.4268...). After this point, the number of infected individuals begins</t>
  </si>
  <si>
    <t>to decrease</t>
  </si>
  <si>
    <t>Predator–Prey Interaction (Lotka–Volterra Model)</t>
  </si>
  <si>
    <t>Time (in steps)</t>
  </si>
  <si>
    <t>Prey (P)</t>
  </si>
  <si>
    <t>Predator (F)</t>
  </si>
  <si>
    <t>r</t>
  </si>
  <si>
    <t>a</t>
  </si>
  <si>
    <t>b</t>
  </si>
  <si>
    <t>d</t>
  </si>
  <si>
    <t>Resource Depletion and Regeneration</t>
  </si>
  <si>
    <t>Resource level</t>
  </si>
  <si>
    <t>K</t>
  </si>
  <si>
    <t>H</t>
  </si>
  <si>
    <t>`</t>
  </si>
  <si>
    <t>Charging a Capacitor (RC Circuit Model)</t>
  </si>
  <si>
    <t>Voltage</t>
  </si>
  <si>
    <t>Vmax</t>
  </si>
  <si>
    <t>R</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</si>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</sst>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0000000000"/>
    <numFmt numFmtId="165" formatCode="0.00000"/>
    <numFmt numFmtId="166" formatCode="0.0000000000000000"/>
    <numFmt numFmtId="167" formatCode="0.00000000000000000"/>
  </numFmts>
  <fonts count="6">
    <font>
      <sz val="11"/>
      <color theme="1"/>
      <name val="Calibri"/>
      <family val="2"/>
      <scheme val="minor"/>
    </font>
    <font>
      <sz val="11"/>
      <color theme="1"/>
      <name val="Arial"/>
    </font>
    <font>
      <b/>
      <sz val="11"/>
      <color theme="1"/>
      <name val="Arial"/>
    </font>
    <font>
      <sz val="11"/>
      <color rgb="FF242424"/>
      <name val="Arial"/>
    </font>
    <font>
      <b/>
      <sz val="11"/>
      <color rgb="FF000000"/>
      <name val="Arial"/>
    </font>
    <font>
      <sz val="11"/>
      <color rgb="FFFF0000"/>
      <name val="Arial"/>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2" fillId="0" borderId="0" xfId="0" applyFont="1"/>
    <xf numFmtId="164" fontId="1" fillId="0" borderId="0" xfId="0" applyNumberFormat="1" applyFont="1"/>
    <xf numFmtId="164" fontId="1" fillId="2" borderId="0" xfId="0" applyNumberFormat="1" applyFont="1" applyFill="1"/>
    <xf numFmtId="0" fontId="1" fillId="2" borderId="0" xfId="0" applyFont="1" applyFill="1"/>
    <xf numFmtId="164" fontId="1" fillId="0" borderId="0" xfId="0" applyNumberFormat="1" applyFont="1" applyAlignment="1">
      <alignment horizontal="center"/>
    </xf>
    <xf numFmtId="0" fontId="3" fillId="0" borderId="0" xfId="0" applyFont="1"/>
    <xf numFmtId="0" fontId="4" fillId="0" borderId="0" xfId="0" applyFont="1"/>
    <xf numFmtId="165" fontId="1" fillId="0" borderId="0" xfId="0" applyNumberFormat="1" applyFont="1" applyAlignment="1">
      <alignment horizontal="center"/>
    </xf>
    <xf numFmtId="166" fontId="1" fillId="0" borderId="0" xfId="0" applyNumberFormat="1" applyFont="1" applyAlignment="1">
      <alignment horizontal="center"/>
    </xf>
    <xf numFmtId="167" fontId="1" fillId="0" borderId="0" xfId="0" applyNumberFormat="1" applyFont="1" applyAlignment="1">
      <alignment horizontal="center"/>
    </xf>
    <xf numFmtId="0" fontId="5" fillId="0" borderId="0" xfId="0" applyFont="1"/>
    <xf numFmtId="0" fontId="2"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FF6E6B"/>
      <color rgb="FFF1FF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Susceptible, Infected, Recovered vs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'SIR Model'!$B$2</c:f>
              <c:strCache>
                <c:ptCount val="1"/>
                <c:pt idx="0">
                  <c:v>Susceptible</c:v>
                </c:pt>
              </c:strCache>
            </c:strRef>
          </c:tx>
          <c:spPr>
            <a:ln w="19050" cap="rnd">
              <a:solidFill>
                <a:srgbClr val="637CEF"/>
              </a:solidFill>
              <a:round/>
            </a:ln>
            <a:effectLst/>
          </c:spPr>
          <c:marker>
            <c:symbol val="none"/>
          </c:marker>
          <c:xVal>
            <c:numRef>
              <c:f>'SIR Model'!$A$3:$A$43</c:f>
              <c:numCache>
                <c:formatCode>General</c:formatCod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numCache>
            </c:numRef>
          </c:xVal>
          <c:yVal>
            <c:numRef>
              <c:f>'SIR Model'!$B$3:$B$43</c:f>
              <c:numCache>
                <c:formatCode>0.000000000000000000</c:formatCode>
                <c:ptCount val="41"/>
                <c:pt idx="0">
                  <c:v>0.99</c:v>
                </c:pt>
                <c:pt idx="1">
                  <c:v>0.98604000000000003</c:v>
                </c:pt>
                <c:pt idx="2">
                  <c:v>0.98092836863999999</c:v>
                </c:pt>
                <c:pt idx="3">
                  <c:v>0.97434609155885166</c:v>
                </c:pt>
                <c:pt idx="4">
                  <c:v>0.96589642767416461</c:v>
                </c:pt>
                <c:pt idx="5">
                  <c:v>0.95509307910050334</c:v>
                </c:pt>
                <c:pt idx="6">
                  <c:v>0.94135153386794146</c:v>
                </c:pt>
                <c:pt idx="7">
                  <c:v>0.92398783097841386</c:v>
                </c:pt>
                <c:pt idx="8">
                  <c:v>0.90223121232571468</c:v>
                </c:pt>
                <c:pt idx="9">
                  <c:v>0.87525951707936656</c:v>
                </c:pt>
                <c:pt idx="10">
                  <c:v>0.84226777148495946</c:v>
                </c:pt>
                <c:pt idx="11">
                  <c:v>0.80257926888276143</c:v>
                </c:pt>
                <c:pt idx="12">
                  <c:v>0.75580149464294943</c:v>
                </c:pt>
                <c:pt idx="13">
                  <c:v>0.70201338217309472</c:v>
                </c:pt>
                <c:pt idx="14">
                  <c:v>0.64194523498749556</c:v>
                </c:pt>
                <c:pt idx="15">
                  <c:v>0.57708550474698683</c:v>
                </c:pt>
                <c:pt idx="16">
                  <c:v>0.50963776817353068</c:v>
                </c:pt>
                <c:pt idx="17">
                  <c:v>0.44227998979958982</c:v>
                </c:pt>
                <c:pt idx="18">
                  <c:v>0.37775387570414365</c:v>
                </c:pt>
                <c:pt idx="19">
                  <c:v>0.31840296814290731</c:v>
                </c:pt>
                <c:pt idx="20">
                  <c:v>0.26582059052727314</c:v>
                </c:pt>
                <c:pt idx="21">
                  <c:v>0.22072076258245471</c:v>
                </c:pt>
                <c:pt idx="22">
                  <c:v>0.18303571108234329</c:v>
                </c:pt>
                <c:pt idx="23">
                  <c:v>0.15215086707889197</c:v>
                </c:pt>
                <c:pt idx="24">
                  <c:v>0.12716511147330251</c:v>
                </c:pt>
                <c:pt idx="25">
                  <c:v>0.10709978162231867</c:v>
                </c:pt>
                <c:pt idx="26">
                  <c:v>9.1030877796698023E-2</c:v>
                </c:pt>
                <c:pt idx="27">
                  <c:v>7.815359137073874E-2</c:v>
                </c:pt>
                <c:pt idx="28">
                  <c:v>6.780093740078906E-2</c:v>
                </c:pt>
                <c:pt idx="29">
                  <c:v>5.9437013436272224E-2</c:v>
                </c:pt>
                <c:pt idx="30">
                  <c:v>5.2639227534297707E-2</c:v>
                </c:pt>
                <c:pt idx="31">
                  <c:v>4.7077802032498277E-2</c:v>
                </c:pt>
                <c:pt idx="32">
                  <c:v>4.2496608012803111E-2</c:v>
                </c:pt>
                <c:pt idx="33">
                  <c:v>3.8696880354375601E-2</c:v>
                </c:pt>
                <c:pt idx="34">
                  <c:v>3.5524079228907768E-2</c:v>
                </c:pt>
                <c:pt idx="35">
                  <c:v>3.2857601288267015E-2</c:v>
                </c:pt>
                <c:pt idx="36">
                  <c:v>3.0602859504492964E-2</c:v>
                </c:pt>
                <c:pt idx="37">
                  <c:v>2.8685242908343775E-2</c:v>
                </c:pt>
                <c:pt idx="38">
                  <c:v>2.7045529458853738E-2</c:v>
                </c:pt>
                <c:pt idx="39">
                  <c:v>2.563640534783148E-2</c:v>
                </c:pt>
                <c:pt idx="40">
                  <c:v>2.4419819966318396E-2</c:v>
                </c:pt>
              </c:numCache>
            </c:numRef>
          </c:yVal>
          <c:smooth val="1"/>
          <c:extLst>
            <c:ext xmlns:c16="http://schemas.microsoft.com/office/drawing/2014/chart" uri="{C3380CC4-5D6E-409C-BE32-E72D297353CC}">
              <c16:uniqueId val="{00000000-7E14-4D1D-B22B-7634F643B552}"/>
            </c:ext>
          </c:extLst>
        </c:ser>
        <c:ser>
          <c:idx val="1"/>
          <c:order val="1"/>
          <c:tx>
            <c:strRef>
              <c:f>'SIR Model'!$C$2</c:f>
              <c:strCache>
                <c:ptCount val="1"/>
                <c:pt idx="0">
                  <c:v>Infected</c:v>
                </c:pt>
              </c:strCache>
            </c:strRef>
          </c:tx>
          <c:spPr>
            <a:ln w="19050" cap="rnd">
              <a:solidFill>
                <a:srgbClr val="E3008C"/>
              </a:solidFill>
              <a:round/>
            </a:ln>
            <a:effectLst/>
          </c:spPr>
          <c:marker>
            <c:symbol val="none"/>
          </c:marker>
          <c:xVal>
            <c:numRef>
              <c:f>'SIR Model'!$A$3:$A$43</c:f>
              <c:numCache>
                <c:formatCode>General</c:formatCod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numCache>
            </c:numRef>
          </c:xVal>
          <c:yVal>
            <c:numRef>
              <c:f>'SIR Model'!$C$3:$C$43</c:f>
              <c:numCache>
                <c:formatCode>0.000000000000000000</c:formatCode>
                <c:ptCount val="41"/>
                <c:pt idx="0">
                  <c:v>0.01</c:v>
                </c:pt>
                <c:pt idx="1">
                  <c:v>1.2959999999999999E-2</c:v>
                </c:pt>
                <c:pt idx="2">
                  <c:v>1.6775631360000001E-2</c:v>
                </c:pt>
                <c:pt idx="3">
                  <c:v>2.168034530514833E-2</c:v>
                </c:pt>
                <c:pt idx="4">
                  <c:v>2.7961974659320529E-2</c:v>
                </c:pt>
                <c:pt idx="5">
                  <c:v>3.5969125767049769E-2</c:v>
                </c:pt>
                <c:pt idx="6">
                  <c:v>4.6113758422906721E-2</c:v>
                </c:pt>
                <c:pt idx="7">
                  <c:v>5.8866085470143631E-2</c:v>
                </c:pt>
                <c:pt idx="8">
                  <c:v>7.4736095575828443E-2</c:v>
                </c:pt>
                <c:pt idx="9">
                  <c:v>9.4234181264593667E-2</c:v>
                </c:pt>
                <c:pt idx="10">
                  <c:v>0.11780250873254139</c:v>
                </c:pt>
                <c:pt idx="11">
                  <c:v>0.14571076046148532</c:v>
                </c:pt>
                <c:pt idx="12">
                  <c:v>0.1779174586551488</c:v>
                </c:pt>
                <c:pt idx="13">
                  <c:v>0.21391382525948857</c:v>
                </c:pt>
                <c:pt idx="14">
                  <c:v>0.25259058991913891</c:v>
                </c:pt>
                <c:pt idx="15">
                  <c:v>0.2921912611677337</c:v>
                </c:pt>
                <c:pt idx="16">
                  <c:v>0.33041987162441644</c:v>
                </c:pt>
                <c:pt idx="17">
                  <c:v>0.36473566283591563</c:v>
                </c:pt>
                <c:pt idx="18">
                  <c:v>0.39278821064777025</c:v>
                </c:pt>
                <c:pt idx="19">
                  <c:v>0.41286029714422956</c:v>
                </c:pt>
                <c:pt idx="20">
                  <c:v>0.42415664504544076</c:v>
                </c:pt>
                <c:pt idx="21">
                  <c:v>0.4268408084857151</c:v>
                </c:pt>
                <c:pt idx="22">
                  <c:v>0.42184177913725501</c:v>
                </c:pt>
                <c:pt idx="23">
                  <c:v>0.4105424452269808</c:v>
                </c:pt>
                <c:pt idx="24">
                  <c:v>0.3944739563098722</c:v>
                </c:pt>
                <c:pt idx="25">
                  <c:v>0.3750918905298688</c:v>
                </c:pt>
                <c:pt idx="26">
                  <c:v>0.35365160530250256</c:v>
                </c:pt>
                <c:pt idx="27">
                  <c:v>0.33116373119821158</c:v>
                </c:pt>
                <c:pt idx="28">
                  <c:v>0.30840001204834011</c:v>
                </c:pt>
                <c:pt idx="29">
                  <c:v>0.28592393480802297</c:v>
                </c:pt>
                <c:pt idx="30">
                  <c:v>0.26412932722919519</c:v>
                </c:pt>
                <c:pt idx="31">
                  <c:v>0.2432778200080751</c:v>
                </c:pt>
                <c:pt idx="32">
                  <c:v>0.22353123202696276</c:v>
                </c:pt>
                <c:pt idx="33">
                  <c:v>0.20497783648269399</c:v>
                </c:pt>
                <c:pt idx="34">
                  <c:v>0.18765285395989242</c:v>
                </c:pt>
                <c:pt idx="35">
                  <c:v>0.17155404650454395</c:v>
                </c:pt>
                <c:pt idx="36">
                  <c:v>0.1566533836378636</c:v>
                </c:pt>
                <c:pt idx="37">
                  <c:v>0.14290566187022644</c:v>
                </c:pt>
                <c:pt idx="38">
                  <c:v>0.13025480913269383</c:v>
                </c:pt>
                <c:pt idx="39">
                  <c:v>0.1186384523304467</c:v>
                </c:pt>
                <c:pt idx="40">
                  <c:v>0.10799119247891512</c:v>
                </c:pt>
              </c:numCache>
            </c:numRef>
          </c:yVal>
          <c:smooth val="1"/>
          <c:extLst>
            <c:ext xmlns:c16="http://schemas.microsoft.com/office/drawing/2014/chart" uri="{C3380CC4-5D6E-409C-BE32-E72D297353CC}">
              <c16:uniqueId val="{00000002-7E14-4D1D-B22B-7634F643B552}"/>
            </c:ext>
          </c:extLst>
        </c:ser>
        <c:ser>
          <c:idx val="2"/>
          <c:order val="2"/>
          <c:tx>
            <c:strRef>
              <c:f>'SIR Model'!$D$2</c:f>
              <c:strCache>
                <c:ptCount val="1"/>
                <c:pt idx="0">
                  <c:v>Recovered</c:v>
                </c:pt>
              </c:strCache>
            </c:strRef>
          </c:tx>
          <c:spPr>
            <a:ln w="19050" cap="rnd">
              <a:solidFill>
                <a:srgbClr val="2AA0A4"/>
              </a:solidFill>
              <a:round/>
            </a:ln>
            <a:effectLst/>
          </c:spPr>
          <c:marker>
            <c:symbol val="none"/>
          </c:marker>
          <c:xVal>
            <c:numRef>
              <c:f>'SIR Model'!$A$3:$A$43</c:f>
              <c:numCache>
                <c:formatCode>General</c:formatCod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numCache>
            </c:numRef>
          </c:xVal>
          <c:yVal>
            <c:numRef>
              <c:f>'SIR Model'!$D$3:$D$43</c:f>
              <c:numCache>
                <c:formatCode>0.000000000000000000</c:formatCode>
                <c:ptCount val="41"/>
                <c:pt idx="0">
                  <c:v>0</c:v>
                </c:pt>
                <c:pt idx="1">
                  <c:v>1E-3</c:v>
                </c:pt>
                <c:pt idx="2">
                  <c:v>2.2960000000000003E-3</c:v>
                </c:pt>
                <c:pt idx="3">
                  <c:v>3.9735631360000006E-3</c:v>
                </c:pt>
                <c:pt idx="4">
                  <c:v>6.1415976665148333E-3</c:v>
                </c:pt>
                <c:pt idx="5">
                  <c:v>8.9377951324468869E-3</c:v>
                </c:pt>
                <c:pt idx="6">
                  <c:v>1.2534707709151865E-2</c:v>
                </c:pt>
                <c:pt idx="7">
                  <c:v>1.7146083551442537E-2</c:v>
                </c:pt>
                <c:pt idx="8">
                  <c:v>2.3032692098456899E-2</c:v>
                </c:pt>
                <c:pt idx="9">
                  <c:v>3.0506301656039743E-2</c:v>
                </c:pt>
                <c:pt idx="10">
                  <c:v>3.992971978249911E-2</c:v>
                </c:pt>
                <c:pt idx="11">
                  <c:v>5.1709970655753251E-2</c:v>
                </c:pt>
                <c:pt idx="12">
                  <c:v>6.6281046701901783E-2</c:v>
                </c:pt>
                <c:pt idx="13">
                  <c:v>8.4072792567416663E-2</c:v>
                </c:pt>
                <c:pt idx="14">
                  <c:v>0.10546417509336552</c:v>
                </c:pt>
                <c:pt idx="15">
                  <c:v>0.13072323408527942</c:v>
                </c:pt>
                <c:pt idx="16">
                  <c:v>0.1599423602020528</c:v>
                </c:pt>
                <c:pt idx="17">
                  <c:v>0.19298434736449444</c:v>
                </c:pt>
                <c:pt idx="18">
                  <c:v>0.22945791364808599</c:v>
                </c:pt>
                <c:pt idx="19">
                  <c:v>0.26873673471286302</c:v>
                </c:pt>
                <c:pt idx="20">
                  <c:v>0.31002276442728599</c:v>
                </c:pt>
                <c:pt idx="21">
                  <c:v>0.35243842893183008</c:v>
                </c:pt>
                <c:pt idx="22">
                  <c:v>0.39512250978040159</c:v>
                </c:pt>
                <c:pt idx="23">
                  <c:v>0.43730668769412706</c:v>
                </c:pt>
                <c:pt idx="24">
                  <c:v>0.47836093221682513</c:v>
                </c:pt>
                <c:pt idx="25">
                  <c:v>0.51780832784781239</c:v>
                </c:pt>
                <c:pt idx="26">
                  <c:v>0.55531751690079922</c:v>
                </c:pt>
                <c:pt idx="27">
                  <c:v>0.59068267743104952</c:v>
                </c:pt>
                <c:pt idx="28">
                  <c:v>0.6237990505508707</c:v>
                </c:pt>
                <c:pt idx="29">
                  <c:v>0.65463905175570469</c:v>
                </c:pt>
                <c:pt idx="30">
                  <c:v>0.68323144523650703</c:v>
                </c:pt>
                <c:pt idx="31">
                  <c:v>0.70964437795942659</c:v>
                </c:pt>
                <c:pt idx="32">
                  <c:v>0.73397215996023413</c:v>
                </c:pt>
                <c:pt idx="33">
                  <c:v>0.75632528316293035</c:v>
                </c:pt>
                <c:pt idx="34">
                  <c:v>0.77682306681119973</c:v>
                </c:pt>
                <c:pt idx="35">
                  <c:v>0.79558835220718893</c:v>
                </c:pt>
                <c:pt idx="36">
                  <c:v>0.81274375685764333</c:v>
                </c:pt>
                <c:pt idx="37">
                  <c:v>0.82840909522142969</c:v>
                </c:pt>
                <c:pt idx="38">
                  <c:v>0.84269966140845232</c:v>
                </c:pt>
                <c:pt idx="39">
                  <c:v>0.8557251423217217</c:v>
                </c:pt>
                <c:pt idx="40">
                  <c:v>0.86758898755476632</c:v>
                </c:pt>
              </c:numCache>
            </c:numRef>
          </c:yVal>
          <c:smooth val="1"/>
          <c:extLst>
            <c:ext xmlns:c16="http://schemas.microsoft.com/office/drawing/2014/chart" uri="{C3380CC4-5D6E-409C-BE32-E72D297353CC}">
              <c16:uniqueId val="{00000004-7E14-4D1D-B22B-7634F643B552}"/>
            </c:ext>
          </c:extLst>
        </c:ser>
        <c:dLbls>
          <c:showLegendKey val="0"/>
          <c:showVal val="0"/>
          <c:showCatName val="0"/>
          <c:showSerName val="0"/>
          <c:showPercent val="0"/>
          <c:showBubbleSize val="0"/>
        </c:dLbls>
        <c:axId val="935656455"/>
        <c:axId val="1017832967"/>
      </c:scatterChart>
      <c:valAx>
        <c:axId val="935656455"/>
        <c:scaling>
          <c:orientation val="minMax"/>
          <c:max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days)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017832967"/>
        <c:crosses val="autoZero"/>
        <c:crossBetween val="midCat"/>
      </c:valAx>
      <c:valAx>
        <c:axId val="10178329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9356564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r>
              <a:rPr lang="en-US"/>
              <a:t>Prey, Predator vs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endParaRPr lang="en-US"/>
        </a:p>
      </c:txPr>
    </c:title>
    <c:autoTitleDeleted val="0"/>
    <c:plotArea>
      <c:layout/>
      <c:scatterChart>
        <c:scatterStyle val="smoothMarker"/>
        <c:varyColors val="0"/>
        <c:ser>
          <c:idx val="0"/>
          <c:order val="0"/>
          <c:tx>
            <c:strRef>
              <c:f>'Lotka-Volterra Model'!$B$2</c:f>
              <c:strCache>
                <c:ptCount val="1"/>
                <c:pt idx="0">
                  <c:v>Prey (P)</c:v>
                </c:pt>
              </c:strCache>
            </c:strRef>
          </c:tx>
          <c:spPr>
            <a:ln w="19050" cap="rnd">
              <a:solidFill>
                <a:srgbClr val="637CEF"/>
              </a:solidFill>
              <a:round/>
            </a:ln>
            <a:effectLst/>
          </c:spPr>
          <c:marker>
            <c:symbol val="none"/>
          </c:marker>
          <c:xVal>
            <c:numRef>
              <c:f>'Lotka-Volterra Model'!$A$3:$A$33</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'Lotka-Volterra Model'!$B$3:$B$33</c:f>
              <c:numCache>
                <c:formatCode>0.000000000000000000</c:formatCode>
                <c:ptCount val="31"/>
                <c:pt idx="0">
                  <c:v>40</c:v>
                </c:pt>
                <c:pt idx="1">
                  <c:v>40.4</c:v>
                </c:pt>
                <c:pt idx="2">
                  <c:v>41.02216</c:v>
                </c:pt>
                <c:pt idx="3">
                  <c:v>41.860741558265602</c:v>
                </c:pt>
                <c:pt idx="4">
                  <c:v>42.912882394929603</c:v>
                </c:pt>
                <c:pt idx="5">
                  <c:v>44.178252210056577</c:v>
                </c:pt>
                <c:pt idx="6">
                  <c:v>45.658768479904296</c:v>
                </c:pt>
                <c:pt idx="7">
                  <c:v>47.358360896141797</c:v>
                </c:pt>
                <c:pt idx="8">
                  <c:v>49.282773891459755</c:v>
                </c:pt>
                <c:pt idx="9">
                  <c:v>51.439397486790128</c:v>
                </c:pt>
                <c:pt idx="10">
                  <c:v>53.837117330536771</c:v>
                </c:pt>
                <c:pt idx="11">
                  <c:v>56.48617518351908</c:v>
                </c:pt>
                <c:pt idx="12">
                  <c:v>59.398031177870863</c:v>
                </c:pt>
                <c:pt idx="13">
                  <c:v>62.585218903120456</c:v>
                </c:pt>
                <c:pt idx="14">
                  <c:v>66.061183709510075</c:v>
                </c:pt>
                <c:pt idx="15">
                  <c:v>69.840093522150653</c:v>
                </c:pt>
                <c:pt idx="16">
                  <c:v>73.936609872563224</c:v>
                </c:pt>
                <c:pt idx="17">
                  <c:v>78.365604703608824</c:v>
                </c:pt>
                <c:pt idx="18">
                  <c:v>83.141805699611794</c:v>
                </c:pt>
                <c:pt idx="19">
                  <c:v>88.279349329132316</c:v>
                </c:pt>
                <c:pt idx="20">
                  <c:v>93.7912163453434</c:v>
                </c:pt>
                <c:pt idx="21">
                  <c:v>99.688519050669754</c:v>
                </c:pt>
                <c:pt idx="22">
                  <c:v>105.97960310494648</c:v>
                </c:pt>
                <c:pt idx="23">
                  <c:v>112.66891901561105</c:v>
                </c:pt>
                <c:pt idx="24">
                  <c:v>119.75560981845572</c:v>
                </c:pt>
                <c:pt idx="25">
                  <c:v>127.23175224633474</c:v>
                </c:pt>
                <c:pt idx="26">
                  <c:v>135.08017980820742</c:v>
                </c:pt>
                <c:pt idx="27">
                  <c:v>143.27180945161305</c:v>
                </c:pt>
                <c:pt idx="28">
                  <c:v>151.76239208751795</c:v>
                </c:pt>
                <c:pt idx="29">
                  <c:v>160.48861673910457</c:v>
                </c:pt>
                <c:pt idx="30">
                  <c:v>169.3635274622564</c:v>
                </c:pt>
              </c:numCache>
            </c:numRef>
          </c:yVal>
          <c:smooth val="1"/>
          <c:extLst>
            <c:ext xmlns:c16="http://schemas.microsoft.com/office/drawing/2014/chart" uri="{C3380CC4-5D6E-409C-BE32-E72D297353CC}">
              <c16:uniqueId val="{00000000-97C8-46E9-9B81-315F40FF6D36}"/>
            </c:ext>
          </c:extLst>
        </c:ser>
        <c:ser>
          <c:idx val="1"/>
          <c:order val="1"/>
          <c:tx>
            <c:strRef>
              <c:f>'Lotka-Volterra Model'!$C$2</c:f>
              <c:strCache>
                <c:ptCount val="1"/>
                <c:pt idx="0">
                  <c:v>Predator (F)</c:v>
                </c:pt>
              </c:strCache>
            </c:strRef>
          </c:tx>
          <c:spPr>
            <a:ln w="19050" cap="rnd">
              <a:solidFill>
                <a:srgbClr val="E3008C"/>
              </a:solidFill>
              <a:round/>
            </a:ln>
            <a:effectLst/>
          </c:spPr>
          <c:marker>
            <c:symbol val="none"/>
          </c:marker>
          <c:xVal>
            <c:numRef>
              <c:f>'Lotka-Volterra Model'!$A$3:$A$33</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'Lotka-Volterra Model'!$C$3:$C$33</c:f>
              <c:numCache>
                <c:formatCode>0.000000000000000000</c:formatCode>
                <c:ptCount val="31"/>
                <c:pt idx="0">
                  <c:v>9</c:v>
                </c:pt>
                <c:pt idx="1">
                  <c:v>8.4599999999999991</c:v>
                </c:pt>
                <c:pt idx="2">
                  <c:v>7.9557839999999995</c:v>
                </c:pt>
                <c:pt idx="3">
                  <c:v>7.4865690441734394</c:v>
                </c:pt>
                <c:pt idx="4">
                  <c:v>7.0513054716723511</c:v>
                </c:pt>
                <c:pt idx="5">
                  <c:v>6.6487667669417156</c:v>
                </c:pt>
                <c:pt idx="6">
                  <c:v>6.2776209853633382</c:v>
                </c:pt>
                <c:pt idx="7">
                  <c:v>5.9364873300022971</c:v>
                </c:pt>
                <c:pt idx="8">
                  <c:v>5.6239809064316901</c:v>
                </c:pt>
                <c:pt idx="9">
                  <c:v>5.3387481951700808</c:v>
                </c:pt>
                <c:pt idx="10">
                  <c:v>5.0794953661463103</c:v>
                </c:pt>
                <c:pt idx="11">
                  <c:v>4.8450112175388158</c:v>
                </c:pt>
                <c:pt idx="12">
                  <c:v>4.634186248184947</c:v>
                </c:pt>
                <c:pt idx="13">
                  <c:v>4.446029162620202</c:v>
                </c:pt>
                <c:pt idx="14">
                  <c:v>4.2796819547504246</c:v>
                </c:pt>
                <c:pt idx="15">
                  <c:v>4.1344346151064251</c:v>
                </c:pt>
                <c:pt idx="16">
                  <c:v>4.0097404537760326</c:v>
                </c:pt>
                <c:pt idx="17">
                  <c:v>3.9052330240195023</c:v>
                </c:pt>
                <c:pt idx="18">
                  <c:v>3.8207456690533435</c:v>
                </c:pt>
                <c:pt idx="19">
                  <c:v>3.7563347961920757</c:v>
                </c:pt>
                <c:pt idx="20">
                  <c:v>3.7123081082430835</c:v>
                </c:pt>
                <c:pt idx="21">
                  <c:v>3.6892591903395746</c:v>
                </c:pt>
                <c:pt idx="22">
                  <c:v>3.6881100563846427</c:v>
                </c:pt>
                <c:pt idx="23">
                  <c:v>3.7101634907291845</c:v>
                </c:pt>
                <c:pt idx="24">
                  <c:v>3.7571672515279091</c:v>
                </c:pt>
                <c:pt idx="25">
                  <c:v>3.8313923817717743</c:v>
                </c:pt>
                <c:pt idx="26">
                  <c:v>3.9357279098706774</c:v>
                </c:pt>
                <c:pt idx="27">
                  <c:v>4.0737939526251212</c:v>
                </c:pt>
                <c:pt idx="28">
                  <c:v>4.2500743882882492</c:v>
                </c:pt>
                <c:pt idx="29">
                  <c:v>4.4700684051759438</c:v>
                </c:pt>
                <c:pt idx="30">
                  <c:v>4.7404566597342122</c:v>
                </c:pt>
              </c:numCache>
            </c:numRef>
          </c:yVal>
          <c:smooth val="1"/>
          <c:extLst>
            <c:ext xmlns:c16="http://schemas.microsoft.com/office/drawing/2014/chart" uri="{C3380CC4-5D6E-409C-BE32-E72D297353CC}">
              <c16:uniqueId val="{00000002-97C8-46E9-9B81-315F40FF6D36}"/>
            </c:ext>
          </c:extLst>
        </c:ser>
        <c:dLbls>
          <c:showLegendKey val="0"/>
          <c:showVal val="0"/>
          <c:showCatName val="0"/>
          <c:showSerName val="0"/>
          <c:showPercent val="0"/>
          <c:showBubbleSize val="0"/>
        </c:dLbls>
        <c:axId val="1034160135"/>
        <c:axId val="1042958855"/>
      </c:scatterChart>
      <c:valAx>
        <c:axId val="1034160135"/>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1042958855"/>
        <c:crosses val="autoZero"/>
        <c:crossBetween val="midCat"/>
      </c:valAx>
      <c:valAx>
        <c:axId val="104295885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0341601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Prey, Predator vs Time (Stable Point)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'Lotka-Volterra Model'!$B$39</c:f>
              <c:strCache>
                <c:ptCount val="1"/>
                <c:pt idx="0">
                  <c:v>Prey (P)</c:v>
                </c:pt>
              </c:strCache>
            </c:strRef>
          </c:tx>
          <c:spPr>
            <a:ln w="19050" cap="rnd">
              <a:solidFill>
                <a:srgbClr val="637CEF"/>
              </a:solidFill>
              <a:round/>
            </a:ln>
            <a:effectLst/>
          </c:spPr>
          <c:marker>
            <c:symbol val="none"/>
          </c:marker>
          <c:xVal>
            <c:numRef>
              <c:f>'Lotka-Volterra Model'!$A$40:$A$70</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'Lotka-Volterra Model'!$B$40:$B$70</c:f>
              <c:numCache>
                <c:formatCode>0.000000000000000000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7B51-4123-A664-18061BEF1ED7}"/>
            </c:ext>
          </c:extLst>
        </c:ser>
        <c:ser>
          <c:idx val="1"/>
          <c:order val="1"/>
          <c:tx>
            <c:strRef>
              <c:f>'Lotka-Volterra Model'!$C$39</c:f>
              <c:strCache>
                <c:ptCount val="1"/>
                <c:pt idx="0">
                  <c:v>Predator (F)</c:v>
                </c:pt>
              </c:strCache>
            </c:strRef>
          </c:tx>
          <c:spPr>
            <a:ln w="19050" cap="rnd">
              <a:solidFill>
                <a:srgbClr val="E3008C"/>
              </a:solidFill>
              <a:round/>
            </a:ln>
            <a:effectLst/>
          </c:spPr>
          <c:marker>
            <c:symbol val="none"/>
          </c:marker>
          <c:xVal>
            <c:numRef>
              <c:f>'Lotka-Volterra Model'!$A$40:$A$70</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'Lotka-Volterra Model'!$C$40:$C$70</c:f>
              <c:numCache>
                <c:formatCode>0.000000000000000000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2-7B51-4123-A664-18061BEF1ED7}"/>
            </c:ext>
          </c:extLst>
        </c:ser>
        <c:dLbls>
          <c:showLegendKey val="0"/>
          <c:showVal val="0"/>
          <c:showCatName val="0"/>
          <c:showSerName val="0"/>
          <c:showPercent val="0"/>
          <c:showBubbleSize val="0"/>
        </c:dLbls>
        <c:axId val="891492871"/>
        <c:axId val="891499015"/>
      </c:scatterChart>
      <c:valAx>
        <c:axId val="891492871"/>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891499015"/>
        <c:crosses val="autoZero"/>
        <c:crossBetween val="midCat"/>
      </c:valAx>
      <c:valAx>
        <c:axId val="89149901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8914928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Prey, Predator vs Time (Unstable Point)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'Lotka-Volterra Model'!$B$72</c:f>
              <c:strCache>
                <c:ptCount val="1"/>
                <c:pt idx="0">
                  <c:v>Prey (P)</c:v>
                </c:pt>
              </c:strCache>
            </c:strRef>
          </c:tx>
          <c:spPr>
            <a:ln w="19050" cap="rnd">
              <a:solidFill>
                <a:srgbClr val="637CEF"/>
              </a:solidFill>
              <a:round/>
            </a:ln>
            <a:effectLst/>
          </c:spPr>
          <c:marker>
            <c:symbol val="none"/>
          </c:marker>
          <c:xVal>
            <c:numRef>
              <c:f>'Lotka-Volterra Model'!$A$73:$A$103</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'Lotka-Volterra Model'!$B$73:$B$103</c:f>
              <c:numCache>
                <c:formatCode>0.000000000000000000</c:formatCode>
                <c:ptCount val="3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numCache>
            </c:numRef>
          </c:yVal>
          <c:smooth val="1"/>
          <c:extLst>
            <c:ext xmlns:c16="http://schemas.microsoft.com/office/drawing/2014/chart" uri="{C3380CC4-5D6E-409C-BE32-E72D297353CC}">
              <c16:uniqueId val="{00000000-62B4-48A3-8E58-AA8651621028}"/>
            </c:ext>
          </c:extLst>
        </c:ser>
        <c:ser>
          <c:idx val="1"/>
          <c:order val="1"/>
          <c:tx>
            <c:strRef>
              <c:f>'Lotka-Volterra Model'!$C$72</c:f>
              <c:strCache>
                <c:ptCount val="1"/>
                <c:pt idx="0">
                  <c:v>Predator (F)</c:v>
                </c:pt>
              </c:strCache>
            </c:strRef>
          </c:tx>
          <c:spPr>
            <a:ln w="19050" cap="rnd">
              <a:solidFill>
                <a:srgbClr val="E3008C"/>
              </a:solidFill>
              <a:round/>
            </a:ln>
            <a:effectLst/>
          </c:spPr>
          <c:marker>
            <c:symbol val="none"/>
          </c:marker>
          <c:xVal>
            <c:numRef>
              <c:f>'Lotka-Volterra Model'!$A$73:$A$103</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'Lotka-Volterra Model'!$C$73:$C$103</c:f>
              <c:numCache>
                <c:formatCode>0.000000000000000000</c:formatCode>
                <c:ptCount val="31"/>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numCache>
            </c:numRef>
          </c:yVal>
          <c:smooth val="1"/>
          <c:extLst>
            <c:ext xmlns:c16="http://schemas.microsoft.com/office/drawing/2014/chart" uri="{C3380CC4-5D6E-409C-BE32-E72D297353CC}">
              <c16:uniqueId val="{00000002-62B4-48A3-8E58-AA8651621028}"/>
            </c:ext>
          </c:extLst>
        </c:ser>
        <c:dLbls>
          <c:showLegendKey val="0"/>
          <c:showVal val="0"/>
          <c:showCatName val="0"/>
          <c:showSerName val="0"/>
          <c:showPercent val="0"/>
          <c:showBubbleSize val="0"/>
        </c:dLbls>
        <c:axId val="1022447112"/>
        <c:axId val="892200455"/>
      </c:scatterChart>
      <c:valAx>
        <c:axId val="1022447112"/>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892200455"/>
        <c:crosses val="autoZero"/>
        <c:crossBetween val="midCat"/>
      </c:valAx>
      <c:valAx>
        <c:axId val="89220045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0224471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Resource level per harvest (H = 50) vs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'Resource Depletion &amp; Regenerati'!$B$2</c:f>
              <c:strCache>
                <c:ptCount val="1"/>
                <c:pt idx="0">
                  <c:v>Resource level</c:v>
                </c:pt>
              </c:strCache>
            </c:strRef>
          </c:tx>
          <c:spPr>
            <a:ln w="19050" cap="rnd">
              <a:solidFill>
                <a:srgbClr val="637CEF"/>
              </a:solidFill>
              <a:round/>
            </a:ln>
            <a:effectLst/>
          </c:spPr>
          <c:marker>
            <c:symbol val="none"/>
          </c:marker>
          <c:xVal>
            <c:numRef>
              <c:f>'Resource Depletion &amp; Regenerati'!$A$3:$A$33</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'Resource Depletion &amp; Regenerati'!$B$3:$B$33</c:f>
              <c:numCache>
                <c:formatCode>0.00000000000000000</c:formatCode>
                <c:ptCount val="31"/>
                <c:pt idx="0">
                  <c:v>500</c:v>
                </c:pt>
                <c:pt idx="1">
                  <c:v>487.5</c:v>
                </c:pt>
                <c:pt idx="2">
                  <c:v>474.3671875</c:v>
                </c:pt>
                <c:pt idx="3">
                  <c:v>460.55269482116699</c:v>
                </c:pt>
                <c:pt idx="4">
                  <c:v>446.00252506793174</c:v>
                </c:pt>
                <c:pt idx="5">
                  <c:v>430.65686495637635</c:v>
                </c:pt>
                <c:pt idx="6">
                  <c:v>414.44928468531128</c:v>
                </c:pt>
                <c:pt idx="7">
                  <c:v>397.3058026750341</c:v>
                </c:pt>
                <c:pt idx="8">
                  <c:v>379.14378790057486</c:v>
                </c:pt>
                <c:pt idx="9">
                  <c:v>359.87066609545252</c:v>
                </c:pt>
                <c:pt idx="10">
                  <c:v>339.38238788919853</c:v>
                </c:pt>
                <c:pt idx="11">
                  <c:v>317.56160641764967</c:v>
                </c:pt>
                <c:pt idx="12">
                  <c:v>294.27549836588673</c:v>
                </c:pt>
                <c:pt idx="13">
                  <c:v>269.37314475555087</c:v>
                </c:pt>
                <c:pt idx="14">
                  <c:v>242.6823646753312</c:v>
                </c:pt>
                <c:pt idx="15">
                  <c:v>214.00586463664382</c:v>
                </c:pt>
                <c:pt idx="16">
                  <c:v>183.11652559536432</c:v>
                </c:pt>
                <c:pt idx="17">
                  <c:v>149.75159505759487</c:v>
                </c:pt>
                <c:pt idx="18">
                  <c:v>113.60547755223968</c:v>
                </c:pt>
                <c:pt idx="19">
                  <c:v>74.320715080970018</c:v>
                </c:pt>
                <c:pt idx="20">
                  <c:v>31.476608154559685</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23DB-4F7D-AA6A-EB56F9A78C7C}"/>
            </c:ext>
          </c:extLst>
        </c:ser>
        <c:dLbls>
          <c:showLegendKey val="0"/>
          <c:showVal val="0"/>
          <c:showCatName val="0"/>
          <c:showSerName val="0"/>
          <c:showPercent val="0"/>
          <c:showBubbleSize val="0"/>
        </c:dLbls>
        <c:axId val="1974082056"/>
        <c:axId val="2125901832"/>
      </c:scatterChart>
      <c:valAx>
        <c:axId val="1974082056"/>
        <c:scaling>
          <c:orientation val="minMax"/>
          <c:max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25901832"/>
        <c:crosses val="autoZero"/>
        <c:crossBetween val="midCat"/>
      </c:valAx>
      <c:valAx>
        <c:axId val="212590183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9740820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Resource level per harvest (H = 200) vs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'Resource Depletion &amp; Regenerati'!$B$41</c:f>
              <c:strCache>
                <c:ptCount val="1"/>
                <c:pt idx="0">
                  <c:v>Resource level</c:v>
                </c:pt>
              </c:strCache>
            </c:strRef>
          </c:tx>
          <c:spPr>
            <a:ln w="19050" cap="rnd">
              <a:solidFill>
                <a:srgbClr val="637CEF"/>
              </a:solidFill>
              <a:round/>
            </a:ln>
            <a:effectLst/>
          </c:spPr>
          <c:marker>
            <c:symbol val="none"/>
          </c:marker>
          <c:xVal>
            <c:numRef>
              <c:f>'Resource Depletion &amp; Regenerati'!$A$42:$A$72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'Resource Depletion &amp; Regenerati'!$B$42:$B$72</c:f>
              <c:numCache>
                <c:formatCode>0.00000000000000000</c:formatCode>
                <c:ptCount val="31"/>
                <c:pt idx="0">
                  <c:v>500</c:v>
                </c:pt>
                <c:pt idx="1">
                  <c:v>337.5</c:v>
                </c:pt>
                <c:pt idx="2">
                  <c:v>165.5546875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1B77-45B4-8DD6-B494F8547932}"/>
            </c:ext>
          </c:extLst>
        </c:ser>
        <c:dLbls>
          <c:showLegendKey val="0"/>
          <c:showVal val="0"/>
          <c:showCatName val="0"/>
          <c:showSerName val="0"/>
          <c:showPercent val="0"/>
          <c:showBubbleSize val="0"/>
        </c:dLbls>
        <c:axId val="1646310408"/>
        <c:axId val="1703562760"/>
      </c:scatterChart>
      <c:valAx>
        <c:axId val="1646310408"/>
        <c:scaling>
          <c:orientation val="minMax"/>
          <c:max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703562760"/>
        <c:crosses val="autoZero"/>
        <c:crossBetween val="midCat"/>
      </c:valAx>
      <c:valAx>
        <c:axId val="1703562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646310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Voltage (R = 10k</a:t>
            </a:r>
            <a:r>
              <a:rPr lang="el-GR"/>
              <a:t>Ω, </a:t>
            </a:r>
            <a:r>
              <a:rPr lang="en-US"/>
              <a:t>C = 100</a:t>
            </a:r>
            <a:r>
              <a:rPr lang="el-GR"/>
              <a:t>μ</a:t>
            </a:r>
            <a:r>
              <a:rPr lang="en-US"/>
              <a:t>F) vs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v>Voltage</c:v>
          </c:tx>
          <c:spPr>
            <a:ln w="19050" cap="rnd">
              <a:solidFill>
                <a:srgbClr val="637CEF"/>
              </a:solidFill>
              <a:round/>
            </a:ln>
            <a:effectLst/>
          </c:spPr>
          <c:marker>
            <c:symbol val="none"/>
          </c:marker>
          <c:xVal>
            <c:numRef>
              <c:f>'RC Circuit Model'!$A$3:$A$23</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'RC Circuit Model'!$B$3:$B$23</c:f>
              <c:numCache>
                <c:formatCode>0.00000</c:formatCode>
                <c:ptCount val="21"/>
                <c:pt idx="0">
                  <c:v>0</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numCache>
            </c:numRef>
          </c:yVal>
          <c:smooth val="1"/>
          <c:extLst>
            <c:ext xmlns:c16="http://schemas.microsoft.com/office/drawing/2014/chart" uri="{C3380CC4-5D6E-409C-BE32-E72D297353CC}">
              <c16:uniqueId val="{00000000-9B7B-4ECA-B506-609DF1E4D0CC}"/>
            </c:ext>
          </c:extLst>
        </c:ser>
        <c:dLbls>
          <c:showLegendKey val="0"/>
          <c:showVal val="0"/>
          <c:showCatName val="0"/>
          <c:showSerName val="0"/>
          <c:showPercent val="0"/>
          <c:showBubbleSize val="0"/>
        </c:dLbls>
        <c:axId val="2116688904"/>
        <c:axId val="2116740104"/>
      </c:scatterChart>
      <c:valAx>
        <c:axId val="2116688904"/>
        <c:scaling>
          <c:orientation val="minMax"/>
          <c:max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40104"/>
        <c:crosses val="autoZero"/>
        <c:crossBetween val="midCat"/>
      </c:valAx>
      <c:valAx>
        <c:axId val="2116740104"/>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166889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Voltage (R = 100k</a:t>
            </a:r>
            <a:r>
              <a:rPr lang="el-GR"/>
              <a:t>Ω, </a:t>
            </a:r>
            <a:r>
              <a:rPr lang="en-US"/>
              <a:t>C = 100</a:t>
            </a:r>
            <a:r>
              <a:rPr lang="el-GR"/>
              <a:t>μ</a:t>
            </a:r>
            <a:r>
              <a:rPr lang="en-US"/>
              <a:t>F) vs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'RC Circuit Model'!$B$32</c:f>
              <c:strCache>
                <c:ptCount val="1"/>
                <c:pt idx="0">
                  <c:v>Voltage</c:v>
                </c:pt>
              </c:strCache>
            </c:strRef>
          </c:tx>
          <c:spPr>
            <a:ln w="19050" cap="rnd">
              <a:solidFill>
                <a:srgbClr val="637CEF"/>
              </a:solidFill>
              <a:round/>
            </a:ln>
            <a:effectLst/>
          </c:spPr>
          <c:marker>
            <c:symbol val="none"/>
          </c:marker>
          <c:xVal>
            <c:numRef>
              <c:f>'RC Circuit Model'!$A$33:$A$53</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'RC Circuit Model'!$B$33:$B$53</c:f>
              <c:numCache>
                <c:formatCode>0.0000000000000000</c:formatCode>
                <c:ptCount val="21"/>
                <c:pt idx="0">
                  <c:v>0</c:v>
                </c:pt>
                <c:pt idx="1">
                  <c:v>1.2000000000000002</c:v>
                </c:pt>
                <c:pt idx="2">
                  <c:v>2.2800000000000002</c:v>
                </c:pt>
                <c:pt idx="3">
                  <c:v>3.2520000000000002</c:v>
                </c:pt>
                <c:pt idx="4">
                  <c:v>4.1268000000000002</c:v>
                </c:pt>
                <c:pt idx="5">
                  <c:v>4.9141200000000005</c:v>
                </c:pt>
                <c:pt idx="6">
                  <c:v>5.6227080000000003</c:v>
                </c:pt>
                <c:pt idx="7">
                  <c:v>6.2604372000000001</c:v>
                </c:pt>
                <c:pt idx="8">
                  <c:v>6.8343934800000001</c:v>
                </c:pt>
                <c:pt idx="9">
                  <c:v>7.350954132</c:v>
                </c:pt>
                <c:pt idx="10">
                  <c:v>7.8158587188000004</c:v>
                </c:pt>
                <c:pt idx="11">
                  <c:v>8.2342728469199997</c:v>
                </c:pt>
                <c:pt idx="12">
                  <c:v>8.6108455622280005</c:v>
                </c:pt>
                <c:pt idx="13">
                  <c:v>8.9497610060052004</c:v>
                </c:pt>
                <c:pt idx="14">
                  <c:v>9.25478490540468</c:v>
                </c:pt>
                <c:pt idx="15">
                  <c:v>9.5293064148642124</c:v>
                </c:pt>
                <c:pt idx="16">
                  <c:v>9.7763757733777918</c:v>
                </c:pt>
                <c:pt idx="17">
                  <c:v>9.9987381960400121</c:v>
                </c:pt>
                <c:pt idx="18">
                  <c:v>10.198864376436012</c:v>
                </c:pt>
                <c:pt idx="19">
                  <c:v>10.37897793879241</c:v>
                </c:pt>
                <c:pt idx="20">
                  <c:v>10.541080144913169</c:v>
                </c:pt>
              </c:numCache>
            </c:numRef>
          </c:yVal>
          <c:smooth val="1"/>
          <c:extLst>
            <c:ext xmlns:c16="http://schemas.microsoft.com/office/drawing/2014/chart" uri="{C3380CC4-5D6E-409C-BE32-E72D297353CC}">
              <c16:uniqueId val="{00000000-0E0A-4054-A497-B0D7E80CC8AF}"/>
            </c:ext>
          </c:extLst>
        </c:ser>
        <c:dLbls>
          <c:showLegendKey val="0"/>
          <c:showVal val="0"/>
          <c:showCatName val="0"/>
          <c:showSerName val="0"/>
          <c:showPercent val="0"/>
          <c:showBubbleSize val="0"/>
        </c:dLbls>
        <c:axId val="2121280008"/>
        <c:axId val="2121286152"/>
      </c:scatterChart>
      <c:valAx>
        <c:axId val="2121280008"/>
        <c:scaling>
          <c:orientation val="minMax"/>
          <c:max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86152"/>
        <c:crosses val="autoZero"/>
        <c:crossBetween val="midCat"/>
      </c:valAx>
      <c:valAx>
        <c:axId val="21212861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212800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Voltage (R = 10k</a:t>
            </a:r>
            <a:r>
              <a:rPr lang="el-GR"/>
              <a:t>Ω, </a:t>
            </a:r>
            <a:r>
              <a:rPr lang="en-US"/>
              <a:t>C = 1000</a:t>
            </a:r>
            <a:r>
              <a:rPr lang="el-GR"/>
              <a:t>μ</a:t>
            </a:r>
            <a:r>
              <a:rPr lang="en-US"/>
              <a:t>F) vs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strRef>
              <c:f>'RC Circuit Model'!$B$55</c:f>
              <c:strCache>
                <c:ptCount val="1"/>
                <c:pt idx="0">
                  <c:v>Voltage</c:v>
                </c:pt>
              </c:strCache>
            </c:strRef>
          </c:tx>
          <c:spPr>
            <a:ln w="19050" cap="rnd">
              <a:solidFill>
                <a:srgbClr val="637CEF"/>
              </a:solidFill>
              <a:round/>
            </a:ln>
            <a:effectLst/>
          </c:spPr>
          <c:marker>
            <c:symbol val="none"/>
          </c:marker>
          <c:xVal>
            <c:numRef>
              <c:f>'RC Circuit Model'!$A$56:$A$76</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'RC Circuit Model'!$B$56:$B$76</c:f>
              <c:numCache>
                <c:formatCode>0.0000000000000000</c:formatCode>
                <c:ptCount val="21"/>
                <c:pt idx="0">
                  <c:v>0</c:v>
                </c:pt>
                <c:pt idx="1">
                  <c:v>1.2000000000000002</c:v>
                </c:pt>
                <c:pt idx="2">
                  <c:v>2.2800000000000002</c:v>
                </c:pt>
                <c:pt idx="3">
                  <c:v>3.2520000000000002</c:v>
                </c:pt>
                <c:pt idx="4">
                  <c:v>4.1268000000000002</c:v>
                </c:pt>
                <c:pt idx="5">
                  <c:v>4.9141200000000005</c:v>
                </c:pt>
                <c:pt idx="6">
                  <c:v>5.6227080000000003</c:v>
                </c:pt>
                <c:pt idx="7">
                  <c:v>6.2604372000000001</c:v>
                </c:pt>
                <c:pt idx="8">
                  <c:v>6.8343934800000001</c:v>
                </c:pt>
                <c:pt idx="9">
                  <c:v>7.350954132</c:v>
                </c:pt>
                <c:pt idx="10">
                  <c:v>7.8158587188000004</c:v>
                </c:pt>
                <c:pt idx="11">
                  <c:v>8.2342728469199997</c:v>
                </c:pt>
                <c:pt idx="12">
                  <c:v>8.6108455622280005</c:v>
                </c:pt>
                <c:pt idx="13">
                  <c:v>8.9497610060052004</c:v>
                </c:pt>
                <c:pt idx="14">
                  <c:v>9.25478490540468</c:v>
                </c:pt>
                <c:pt idx="15">
                  <c:v>9.5293064148642124</c:v>
                </c:pt>
                <c:pt idx="16">
                  <c:v>9.7763757733777918</c:v>
                </c:pt>
                <c:pt idx="17">
                  <c:v>9.9987381960400121</c:v>
                </c:pt>
                <c:pt idx="18">
                  <c:v>10.198864376436012</c:v>
                </c:pt>
                <c:pt idx="19">
                  <c:v>10.37897793879241</c:v>
                </c:pt>
                <c:pt idx="20">
                  <c:v>10.541080144913169</c:v>
                </c:pt>
              </c:numCache>
            </c:numRef>
          </c:yVal>
          <c:smooth val="1"/>
          <c:extLst>
            <c:ext xmlns:c16="http://schemas.microsoft.com/office/drawing/2014/chart" uri="{C3380CC4-5D6E-409C-BE32-E72D297353CC}">
              <c16:uniqueId val="{00000000-27B9-4C85-8A0D-BDD2670BA88B}"/>
            </c:ext>
          </c:extLst>
        </c:ser>
        <c:dLbls>
          <c:showLegendKey val="0"/>
          <c:showVal val="0"/>
          <c:showCatName val="0"/>
          <c:showSerName val="0"/>
          <c:showPercent val="0"/>
          <c:showBubbleSize val="0"/>
        </c:dLbls>
        <c:axId val="2116705288"/>
        <c:axId val="2116707336"/>
      </c:scatterChart>
      <c:valAx>
        <c:axId val="2116705288"/>
        <c:scaling>
          <c:orientation val="minMax"/>
          <c:max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16707336"/>
        <c:crosses val="autoZero"/>
        <c:crossBetween val="midCat"/>
      </c:valAx>
      <c:valAx>
        <c:axId val="21167073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16705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r>
              <a:rPr lang="en-US"/>
              <a:t>Voltage (R = 100k</a:t>
            </a:r>
            <a:r>
              <a:rPr lang="el-GR"/>
              <a:t>Ω, </a:t>
            </a:r>
            <a:r>
              <a:rPr lang="en-US"/>
              <a:t>C = 1000</a:t>
            </a:r>
            <a:r>
              <a:rPr lang="el-GR"/>
              <a:t>μ</a:t>
            </a:r>
            <a:r>
              <a:rPr lang="en-US"/>
              <a:t>F) vs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a:ea typeface="Arial"/>
              <a:cs typeface="Arial"/>
            </a:defRPr>
          </a:pPr>
          <a:endParaRPr lang="en-US"/>
        </a:p>
      </c:txPr>
    </c:title>
    <c:autoTitleDeleted val="0"/>
    <c:plotArea>
      <c:layout/>
      <c:scatterChart>
        <c:scatterStyle val="smoothMarker"/>
        <c:varyColors val="0"/>
        <c:ser>
          <c:idx val="0"/>
          <c:order val="0"/>
          <c:tx>
            <c:v>Voltage</c:v>
          </c:tx>
          <c:spPr>
            <a:ln w="19050" cap="rnd">
              <a:solidFill>
                <a:srgbClr val="637CEF"/>
              </a:solidFill>
              <a:round/>
            </a:ln>
            <a:effectLst/>
          </c:spPr>
          <c:marker>
            <c:symbol val="none"/>
          </c:marker>
          <c:xVal>
            <c:numRef>
              <c:f>'RC Circuit Model'!$A$79:$A$99</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'RC Circuit Model'!$B$79:$B$99</c:f>
              <c:numCache>
                <c:formatCode>0.0000000000000000</c:formatCode>
                <c:ptCount val="21"/>
                <c:pt idx="0">
                  <c:v>0</c:v>
                </c:pt>
                <c:pt idx="1">
                  <c:v>0.12</c:v>
                </c:pt>
                <c:pt idx="2">
                  <c:v>1.3080000000000003</c:v>
                </c:pt>
                <c:pt idx="3">
                  <c:v>2.3772000000000002</c:v>
                </c:pt>
                <c:pt idx="4">
                  <c:v>3.33948</c:v>
                </c:pt>
                <c:pt idx="5">
                  <c:v>4.2055319999999998</c:v>
                </c:pt>
                <c:pt idx="6">
                  <c:v>4.9849788000000004</c:v>
                </c:pt>
                <c:pt idx="7">
                  <c:v>5.6864809200000002</c:v>
                </c:pt>
                <c:pt idx="8">
                  <c:v>6.3178328280000002</c:v>
                </c:pt>
                <c:pt idx="9">
                  <c:v>6.8860495452000006</c:v>
                </c:pt>
                <c:pt idx="10">
                  <c:v>7.3974445906800002</c:v>
                </c:pt>
                <c:pt idx="11">
                  <c:v>7.8577001316119999</c:v>
                </c:pt>
                <c:pt idx="12">
                  <c:v>8.2719301184508005</c:v>
                </c:pt>
                <c:pt idx="13">
                  <c:v>8.6447371066057208</c:v>
                </c:pt>
                <c:pt idx="14">
                  <c:v>8.9802633959451494</c:v>
                </c:pt>
                <c:pt idx="15">
                  <c:v>9.2822370563506347</c:v>
                </c:pt>
                <c:pt idx="16">
                  <c:v>9.5540133507155716</c:v>
                </c:pt>
                <c:pt idx="17">
                  <c:v>9.7986120156440144</c:v>
                </c:pt>
                <c:pt idx="18">
                  <c:v>10.018750814079613</c:v>
                </c:pt>
                <c:pt idx="19">
                  <c:v>10.216875732671651</c:v>
                </c:pt>
                <c:pt idx="20">
                  <c:v>10.395188159404487</c:v>
                </c:pt>
              </c:numCache>
            </c:numRef>
          </c:yVal>
          <c:smooth val="1"/>
          <c:extLst>
            <c:ext xmlns:c16="http://schemas.microsoft.com/office/drawing/2014/chart" uri="{C3380CC4-5D6E-409C-BE32-E72D297353CC}">
              <c16:uniqueId val="{00000000-163E-4D93-BD15-A04212E73719}"/>
            </c:ext>
          </c:extLst>
        </c:ser>
        <c:dLbls>
          <c:showLegendKey val="0"/>
          <c:showVal val="0"/>
          <c:showCatName val="0"/>
          <c:showSerName val="0"/>
          <c:showPercent val="0"/>
          <c:showBubbleSize val="0"/>
        </c:dLbls>
        <c:axId val="1699927048"/>
        <c:axId val="1699929096"/>
      </c:scatterChart>
      <c:valAx>
        <c:axId val="1699927048"/>
        <c:scaling>
          <c:orientation val="minMax"/>
          <c:max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a:t>Time (in steps)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699929096"/>
        <c:crosses val="autoZero"/>
        <c:crossBetween val="midCat"/>
      </c:valAx>
      <c:valAx>
        <c:axId val="16999290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6999270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581025</xdr:colOff>
      <xdr:row>9</xdr:row>
      <xdr:rowOff>9525</xdr:rowOff>
    </xdr:from>
    <xdr:to>
      <xdr:col>13</xdr:col>
      <xdr:colOff>161925</xdr:colOff>
      <xdr:row>31</xdr:row>
      <xdr:rowOff>66675</xdr:rowOff>
    </xdr:to>
    <xdr:graphicFrame macro="">
      <xdr:nvGraphicFramePr>
        <xdr:cNvPr id="3" name="Chart 2">
          <a:extLst>
            <a:ext uri="{FF2B5EF4-FFF2-40B4-BE49-F238E27FC236}">
              <a16:creationId xmlns:a16="http://schemas.microsoft.com/office/drawing/2014/main" id="{BF5FCD6E-8BC1-18C9-5297-44677A369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32</xdr:row>
      <xdr:rowOff>28575</xdr:rowOff>
    </xdr:from>
    <xdr:to>
      <xdr:col>13</xdr:col>
      <xdr:colOff>200025</xdr:colOff>
      <xdr:row>48</xdr:row>
      <xdr:rowOff>38100</xdr:rowOff>
    </xdr:to>
    <xdr:sp macro="" textlink="">
      <xdr:nvSpPr>
        <xdr:cNvPr id="4" name="TextBox 3">
          <a:extLst>
            <a:ext uri="{FF2B5EF4-FFF2-40B4-BE49-F238E27FC236}">
              <a16:creationId xmlns:a16="http://schemas.microsoft.com/office/drawing/2014/main" id="{C95A7886-E691-2213-982B-8FD954A7D1AE}"/>
            </a:ext>
            <a:ext uri="{147F2762-F138-4A5C-976F-8EAC2B608ADB}">
              <a16:predDERef xmlns:a16="http://schemas.microsoft.com/office/drawing/2014/main" pred="{BF5FCD6E-8BC1-18C9-5297-44677A3690B0}"/>
            </a:ext>
          </a:extLst>
        </xdr:cNvPr>
        <xdr:cNvSpPr txBox="1"/>
      </xdr:nvSpPr>
      <xdr:spPr>
        <a:xfrm>
          <a:off x="6219825" y="5648325"/>
          <a:ext cx="6610350" cy="2914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u="none" strike="noStrike">
              <a:solidFill>
                <a:srgbClr val="000000"/>
              </a:solidFill>
              <a:latin typeface="Arial" panose="020B0604020202020204" pitchFamily="34" charset="0"/>
              <a:cs typeface="Arial" panose="020B0604020202020204" pitchFamily="34" charset="0"/>
            </a:rPr>
            <a:t>Guide Questions:</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happens when you increase the recovery rate </a:t>
          </a:r>
          <a:r>
            <a:rPr lang="el-GR" sz="1100" b="1" i="0" u="none" strike="noStrike">
              <a:solidFill>
                <a:srgbClr val="000000"/>
              </a:solidFill>
              <a:latin typeface="Arial" panose="020B0604020202020204" pitchFamily="34" charset="0"/>
              <a:cs typeface="Arial" panose="020B0604020202020204" pitchFamily="34" charset="0"/>
            </a:rPr>
            <a:t>γ?</a:t>
          </a:r>
          <a:endParaRPr lang="el-GR"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Increasing the recovery rate (people recovering faster) has two main effects on the disease outbreak. First, people are removed from the infected group quickly because they have less time to transmit the disease and infect it to others. This causes the infection to peak at a lower percentage of the population. Second, the epidemic will burn out faster as aforementioned before the infected group are being depleted at a higher and faster rate. In reality, a high recovery rate is always better because it would lead to a less severe and shorter-lasting epidemic.</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Why does infection eventually decline even without intervention?</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Based on my research, the infection will decline without intervention because there is a depleition of susceptible people to infect (like how are you going to infect others if there is nothing to infect anymore?). The fuel of an epidemic is the susceptible population. The infection spreads when an infected person contacts and transmits the disease to the susceptible person. Furthermore, recovered people do not get reinfected and they get immune against the virus (based on this model only) which further reduce the transmission opportunities. </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9525</xdr:rowOff>
    </xdr:from>
    <xdr:to>
      <xdr:col>15</xdr:col>
      <xdr:colOff>66675</xdr:colOff>
      <xdr:row>20</xdr:row>
      <xdr:rowOff>142875</xdr:rowOff>
    </xdr:to>
    <xdr:graphicFrame macro="">
      <xdr:nvGraphicFramePr>
        <xdr:cNvPr id="2" name="Chart 1">
          <a:extLst>
            <a:ext uri="{FF2B5EF4-FFF2-40B4-BE49-F238E27FC236}">
              <a16:creationId xmlns:a16="http://schemas.microsoft.com/office/drawing/2014/main" id="{8F11519D-0715-C3BC-A2DB-F84B6A4C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71</xdr:row>
      <xdr:rowOff>47625</xdr:rowOff>
    </xdr:from>
    <xdr:to>
      <xdr:col>15</xdr:col>
      <xdr:colOff>400050</xdr:colOff>
      <xdr:row>89</xdr:row>
      <xdr:rowOff>9525</xdr:rowOff>
    </xdr:to>
    <xdr:sp macro="" textlink="">
      <xdr:nvSpPr>
        <xdr:cNvPr id="3" name="TextBox 2">
          <a:extLst>
            <a:ext uri="{FF2B5EF4-FFF2-40B4-BE49-F238E27FC236}">
              <a16:creationId xmlns:a16="http://schemas.microsoft.com/office/drawing/2014/main" id="{C06FEB44-7BD3-4F58-60D4-418534D16A53}"/>
            </a:ext>
            <a:ext uri="{147F2762-F138-4A5C-976F-8EAC2B608ADB}">
              <a16:predDERef xmlns:a16="http://schemas.microsoft.com/office/drawing/2014/main" pred="{8F11519D-0715-C3BC-A2DB-F84B6A4CEA36}"/>
            </a:ext>
          </a:extLst>
        </xdr:cNvPr>
        <xdr:cNvSpPr txBox="1"/>
      </xdr:nvSpPr>
      <xdr:spPr>
        <a:xfrm>
          <a:off x="5276850" y="12763500"/>
          <a:ext cx="7077075" cy="3228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rial" panose="020B0604020202020204" pitchFamily="34" charset="0"/>
              <a:cs typeface="Arial" panose="020B0604020202020204" pitchFamily="34" charset="0"/>
            </a:rPr>
            <a:t>Unstable Point (P = 100, F = 10)</a:t>
          </a:r>
        </a:p>
        <a:p>
          <a:pPr marL="0" indent="0" algn="l"/>
          <a:r>
            <a:rPr lang="en-US" sz="1100">
              <a:latin typeface="Arial" panose="020B0604020202020204" pitchFamily="34" charset="0"/>
              <a:cs typeface="Arial" panose="020B0604020202020204" pitchFamily="34" charset="0"/>
            </a:rPr>
            <a:t>For Predators to be stable (Ft+1 = Ft):</a:t>
          </a:r>
        </a:p>
        <a:p>
          <a:pPr marL="0" indent="0" algn="l"/>
          <a:r>
            <a:rPr lang="en-US" sz="1100">
              <a:latin typeface="Arial" panose="020B0604020202020204" pitchFamily="34" charset="0"/>
              <a:cs typeface="Arial" panose="020B0604020202020204" pitchFamily="34" charset="0"/>
            </a:rPr>
            <a:t>b*Pt*Ft - d*Ft = 0</a:t>
          </a:r>
        </a:p>
        <a:p>
          <a:pPr marL="0" indent="0" algn="l"/>
          <a:r>
            <a:rPr lang="en-US" sz="1100">
              <a:latin typeface="Arial" panose="020B0604020202020204" pitchFamily="34" charset="0"/>
              <a:cs typeface="Arial" panose="020B0604020202020204" pitchFamily="34" charset="0"/>
            </a:rPr>
            <a:t>b*Pt*Ft = d*Ft</a:t>
          </a:r>
        </a:p>
        <a:p>
          <a:pPr marL="0" indent="0" algn="l"/>
          <a:r>
            <a:rPr lang="en-US" sz="1100">
              <a:latin typeface="Arial" panose="020B0604020202020204" pitchFamily="34" charset="0"/>
              <a:cs typeface="Arial" panose="020B0604020202020204" pitchFamily="34" charset="0"/>
            </a:rPr>
            <a:t>b*Pt = d</a:t>
          </a:r>
        </a:p>
        <a:p>
          <a:pPr marL="0" indent="0" algn="l"/>
          <a:r>
            <a:rPr lang="en-US" sz="1100">
              <a:latin typeface="Arial" panose="020B0604020202020204" pitchFamily="34" charset="0"/>
              <a:cs typeface="Arial" panose="020B0604020202020204" pitchFamily="34" charset="0"/>
            </a:rPr>
            <a:t>Pt = d / b</a:t>
          </a:r>
        </a:p>
        <a:p>
          <a:pPr marL="0" indent="0" algn="l"/>
          <a:r>
            <a:rPr lang="en-US" sz="1100">
              <a:latin typeface="Arial" panose="020B0604020202020204" pitchFamily="34" charset="0"/>
              <a:cs typeface="Arial" panose="020B0604020202020204" pitchFamily="34" charset="0"/>
            </a:rPr>
            <a:t>P = 0.1 / 0.001 = 100</a:t>
          </a:r>
          <a:endParaRPr lang="en-US" sz="1100" u="none" strike="noStrike">
            <a:solidFill>
              <a:srgbClr val="000000"/>
            </a:solidFill>
            <a:latin typeface="Arial" panose="020B0604020202020204" pitchFamily="34" charset="0"/>
            <a:cs typeface="Arial" panose="020B0604020202020204" pitchFamily="34" charset="0"/>
          </a:endParaRPr>
        </a:p>
        <a:p>
          <a:pPr marL="0" indent="0" algn="l"/>
          <a:endParaRPr lang="en-US" sz="1100" u="none" strike="noStrike">
            <a:solidFill>
              <a:srgbClr val="000000"/>
            </a:solidFill>
            <a:latin typeface="Arial" panose="020B0604020202020204" pitchFamily="34" charset="0"/>
            <a:cs typeface="Arial" panose="020B0604020202020204" pitchFamily="34" charset="0"/>
          </a:endParaRPr>
        </a:p>
        <a:p>
          <a:pPr marL="0" indent="0" algn="l"/>
          <a:r>
            <a:rPr lang="en-US" sz="1100" u="none" strike="noStrike">
              <a:solidFill>
                <a:srgbClr val="000000"/>
              </a:solidFill>
              <a:latin typeface="Arial" panose="020B0604020202020204" pitchFamily="34" charset="0"/>
              <a:cs typeface="Arial" panose="020B0604020202020204" pitchFamily="34" charset="0"/>
            </a:rPr>
            <a:t>For Prey to be stable (Pt+1 = Pt):</a:t>
          </a:r>
        </a:p>
        <a:p>
          <a:pPr marL="0" indent="0" algn="l"/>
          <a:r>
            <a:rPr lang="en-US" sz="1100" u="none" strike="noStrike">
              <a:solidFill>
                <a:srgbClr val="000000"/>
              </a:solidFill>
              <a:latin typeface="Arial" panose="020B0604020202020204" pitchFamily="34" charset="0"/>
              <a:cs typeface="Arial" panose="020B0604020202020204" pitchFamily="34" charset="0"/>
            </a:rPr>
            <a:t>r*Pt - a*Pt*Ft = 0</a:t>
          </a:r>
        </a:p>
        <a:p>
          <a:pPr marL="0" indent="0" algn="l"/>
          <a:r>
            <a:rPr lang="en-US" sz="1100" u="none" strike="noStrike">
              <a:solidFill>
                <a:srgbClr val="000000"/>
              </a:solidFill>
              <a:latin typeface="Arial" panose="020B0604020202020204" pitchFamily="34" charset="0"/>
              <a:cs typeface="Arial" panose="020B0604020202020204" pitchFamily="34" charset="0"/>
            </a:rPr>
            <a:t>r*Pt = a*Pt*Ft</a:t>
          </a:r>
        </a:p>
        <a:p>
          <a:pPr marL="0" indent="0" algn="l"/>
          <a:r>
            <a:rPr lang="en-US" sz="1100" u="none" strike="noStrike">
              <a:solidFill>
                <a:srgbClr val="000000"/>
              </a:solidFill>
              <a:latin typeface="Arial" panose="020B0604020202020204" pitchFamily="34" charset="0"/>
              <a:cs typeface="Arial" panose="020B0604020202020204" pitchFamily="34" charset="0"/>
            </a:rPr>
            <a:t>r = a*Ft</a:t>
          </a:r>
        </a:p>
        <a:p>
          <a:pPr marL="0" indent="0" algn="l"/>
          <a:r>
            <a:rPr lang="en-US" sz="1100" u="none" strike="noStrike">
              <a:solidFill>
                <a:srgbClr val="000000"/>
              </a:solidFill>
              <a:latin typeface="Arial" panose="020B0604020202020204" pitchFamily="34" charset="0"/>
              <a:cs typeface="Arial" panose="020B0604020202020204" pitchFamily="34" charset="0"/>
            </a:rPr>
            <a:t>Ft = r / a</a:t>
          </a:r>
        </a:p>
        <a:p>
          <a:pPr marL="0" indent="0" algn="l"/>
          <a:r>
            <a:rPr lang="en-US" sz="1100" u="none" strike="noStrike">
              <a:solidFill>
                <a:srgbClr val="000000"/>
              </a:solidFill>
              <a:latin typeface="Arial" panose="020B0604020202020204" pitchFamily="34" charset="0"/>
              <a:cs typeface="Arial" panose="020B0604020202020204" pitchFamily="34" charset="0"/>
            </a:rPr>
            <a:t>F = 0.1 / 0.01 = 10</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Assuming the coexistence equilibrium, where the prey population is 100 and the predator population is 10, both species can survive and interact. This point is neutrally stable, meaning the populations oscillate around this balance without permanently increasing or decreasing.</a:t>
          </a:r>
        </a:p>
      </xdr:txBody>
    </xdr:sp>
    <xdr:clientData/>
  </xdr:twoCellAnchor>
  <xdr:twoCellAnchor>
    <xdr:from>
      <xdr:col>4</xdr:col>
      <xdr:colOff>38100</xdr:colOff>
      <xdr:row>38</xdr:row>
      <xdr:rowOff>0</xdr:rowOff>
    </xdr:from>
    <xdr:to>
      <xdr:col>15</xdr:col>
      <xdr:colOff>276225</xdr:colOff>
      <xdr:row>45</xdr:row>
      <xdr:rowOff>38100</xdr:rowOff>
    </xdr:to>
    <xdr:sp macro="" textlink="">
      <xdr:nvSpPr>
        <xdr:cNvPr id="4" name="TextBox 3">
          <a:extLst>
            <a:ext uri="{FF2B5EF4-FFF2-40B4-BE49-F238E27FC236}">
              <a16:creationId xmlns:a16="http://schemas.microsoft.com/office/drawing/2014/main" id="{600118AD-070B-D27A-E29B-686797541D31}"/>
            </a:ext>
            <a:ext uri="{147F2762-F138-4A5C-976F-8EAC2B608ADB}">
              <a16:predDERef xmlns:a16="http://schemas.microsoft.com/office/drawing/2014/main" pred="{C06FEB44-7BD3-4F58-60D4-418534D16A53}"/>
            </a:ext>
          </a:extLst>
        </xdr:cNvPr>
        <xdr:cNvSpPr txBox="1"/>
      </xdr:nvSpPr>
      <xdr:spPr>
        <a:xfrm>
          <a:off x="5286375" y="6734175"/>
          <a:ext cx="6943725" cy="1314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rial" panose="020B0604020202020204" pitchFamily="34" charset="0"/>
              <a:cs typeface="Arial" panose="020B0604020202020204" pitchFamily="34" charset="0"/>
            </a:rPr>
            <a:t>Stable Point (P = 0, F = 0)</a:t>
          </a:r>
        </a:p>
        <a:p>
          <a:pPr marL="0" indent="0" algn="l"/>
          <a:r>
            <a:rPr lang="en-US" sz="1100">
              <a:solidFill>
                <a:srgbClr val="000000"/>
              </a:solidFill>
              <a:latin typeface="Arial" panose="020B0604020202020204" pitchFamily="34" charset="0"/>
              <a:cs typeface="Arial" panose="020B0604020202020204" pitchFamily="34" charset="0"/>
            </a:rPr>
            <a:t>Assuming the trivial equilibrium, where both prey and predator populations are 0, results in 0 = 0. Since neither species exists, there are no interactions or changes in population. Therefore, this point is considered stable because the system remains constant over tim</a:t>
          </a:r>
        </a:p>
      </xdr:txBody>
    </xdr:sp>
    <xdr:clientData/>
  </xdr:twoCellAnchor>
  <xdr:twoCellAnchor>
    <xdr:from>
      <xdr:col>4</xdr:col>
      <xdr:colOff>19050</xdr:colOff>
      <xdr:row>45</xdr:row>
      <xdr:rowOff>123825</xdr:rowOff>
    </xdr:from>
    <xdr:to>
      <xdr:col>15</xdr:col>
      <xdr:colOff>295275</xdr:colOff>
      <xdr:row>69</xdr:row>
      <xdr:rowOff>28575</xdr:rowOff>
    </xdr:to>
    <xdr:graphicFrame macro="">
      <xdr:nvGraphicFramePr>
        <xdr:cNvPr id="5" name="Chart 4">
          <a:extLst>
            <a:ext uri="{FF2B5EF4-FFF2-40B4-BE49-F238E27FC236}">
              <a16:creationId xmlns:a16="http://schemas.microsoft.com/office/drawing/2014/main" id="{A5351DDE-32FD-3A26-D0FD-D5CB71C191A2}"/>
            </a:ext>
            <a:ext uri="{147F2762-F138-4A5C-976F-8EAC2B608ADB}">
              <a16:predDERef xmlns:a16="http://schemas.microsoft.com/office/drawing/2014/main" pred="{600118AD-070B-D27A-E29B-686797541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89</xdr:row>
      <xdr:rowOff>114300</xdr:rowOff>
    </xdr:from>
    <xdr:to>
      <xdr:col>15</xdr:col>
      <xdr:colOff>381000</xdr:colOff>
      <xdr:row>111</xdr:row>
      <xdr:rowOff>57150</xdr:rowOff>
    </xdr:to>
    <xdr:graphicFrame macro="">
      <xdr:nvGraphicFramePr>
        <xdr:cNvPr id="6" name="Chart 5">
          <a:extLst>
            <a:ext uri="{FF2B5EF4-FFF2-40B4-BE49-F238E27FC236}">
              <a16:creationId xmlns:a16="http://schemas.microsoft.com/office/drawing/2014/main" id="{05A0E144-6288-7CFE-907A-4B04C72E51C4}"/>
            </a:ext>
            <a:ext uri="{147F2762-F138-4A5C-976F-8EAC2B608ADB}">
              <a16:predDERef xmlns:a16="http://schemas.microsoft.com/office/drawing/2014/main" pred="{A5351DDE-32FD-3A26-D0FD-D5CB71C19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-5467350</xdr:colOff>
      <xdr:row>6</xdr:row>
      <xdr:rowOff>66675</xdr:rowOff>
    </xdr:from>
    <xdr:to>
      <xdr:col>0</xdr:col>
      <xdr:colOff>-5467350</xdr:colOff>
      <xdr:row>6</xdr:row>
      <xdr:rowOff>66675</xdr:rowOff>
    </xdr:to>
    <xdr:sp macro="" textlink="">
      <xdr:nvSpPr>
        <xdr:cNvPr id="7" name="TextBox 6">
          <a:extLst>
            <a:ext uri="{FF2B5EF4-FFF2-40B4-BE49-F238E27FC236}">
              <a16:creationId xmlns:a16="http://schemas.microsoft.com/office/drawing/2014/main" id="{8AF90161-5C00-4281-87DD-4A1495127C97}"/>
            </a:ext>
            <a:ext uri="{147F2762-F138-4A5C-976F-8EAC2B608ADB}">
              <a16:predDERef xmlns:a16="http://schemas.microsoft.com/office/drawing/2014/main" pred="{05A0E144-6288-7CFE-907A-4B04C72E51C4}"/>
            </a:ext>
          </a:extLst>
        </xdr:cNvPr>
        <xdr:cNvSpPr txBox="1"/>
      </xdr:nvSpPr>
      <xdr:spPr>
        <a:xfrm>
          <a:off x="-5467350" y="981075"/>
          <a:ext cx="0" cy="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u="none" strike="noStrike">
              <a:solidFill>
                <a:srgbClr val="000000"/>
              </a:solidFill>
              <a:latin typeface="Arial" panose="020B0604020202020204" pitchFamily="34" charset="0"/>
              <a:cs typeface="Arial" panose="020B0604020202020204" pitchFamily="34" charset="0"/>
            </a:rPr>
            <a:t>Guide Questions:</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happens if there are too many predators?</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If there are too many predators, the prey population will decrease rapidly because they cannot reproduce quickly due to overhunting. Predators will eventually run out of food as the preys become scarce causing also their population to decline due to starvation.</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pattern do you observe between prey and predator cycles?</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The prey and predator population follows a cyclic pattern. </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xdr:txBody>
    </xdr:sp>
    <xdr:clientData/>
  </xdr:twoCellAnchor>
  <xdr:twoCellAnchor>
    <xdr:from>
      <xdr:col>4</xdr:col>
      <xdr:colOff>9525</xdr:colOff>
      <xdr:row>21</xdr:row>
      <xdr:rowOff>171450</xdr:rowOff>
    </xdr:from>
    <xdr:to>
      <xdr:col>15</xdr:col>
      <xdr:colOff>266700</xdr:colOff>
      <xdr:row>37</xdr:row>
      <xdr:rowOff>9525</xdr:rowOff>
    </xdr:to>
    <xdr:sp macro="" textlink="">
      <xdr:nvSpPr>
        <xdr:cNvPr id="8" name="TextBox 7">
          <a:extLst>
            <a:ext uri="{FF2B5EF4-FFF2-40B4-BE49-F238E27FC236}">
              <a16:creationId xmlns:a16="http://schemas.microsoft.com/office/drawing/2014/main" id="{03DFFC66-78F3-491F-BFE3-9B272401EC80}"/>
            </a:ext>
            <a:ext uri="{147F2762-F138-4A5C-976F-8EAC2B608ADB}">
              <a16:predDERef xmlns:a16="http://schemas.microsoft.com/office/drawing/2014/main" pred="{8AF90161-5C00-4281-87DD-4A1495127C97}"/>
            </a:ext>
          </a:extLst>
        </xdr:cNvPr>
        <xdr:cNvSpPr txBox="1"/>
      </xdr:nvSpPr>
      <xdr:spPr>
        <a:xfrm>
          <a:off x="5257800" y="3829050"/>
          <a:ext cx="6962775" cy="27336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u="none" strike="noStrike">
              <a:solidFill>
                <a:srgbClr val="000000"/>
              </a:solidFill>
              <a:latin typeface="Arial" panose="020B0604020202020204" pitchFamily="34" charset="0"/>
              <a:cs typeface="Arial" panose="020B0604020202020204" pitchFamily="34" charset="0"/>
            </a:rPr>
            <a:t>Guide Questions:</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happens if there are too many predators?</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If there are too many predators, the prey population will decrease since they cannot reproduce quickly due to being overhunted. The predators will eventually run out of food as the prey becomes fewer and their population will decline due to starvation. </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pattern do you observe between prey and predator cycles?</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Based on the model simulated, the pattern observed is a continuous cycle of oscillation where the predator population lags behind the prey population. This means several reasons. First, the prey population increases first as seen from t = 1 to t = 30. This growing food source then allows the predator to start increasing as well as seen from t = 26 onwards. If we will add more 5 days from the simulation, the increase of predator will be apparent. As aforementioned before, the predators will eventually become numerous enough to cause the prey population to also decline, which in turn will cause the predator population to dcline due to lack of food, starting the cycle over again.</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4</xdr:row>
      <xdr:rowOff>28575</xdr:rowOff>
    </xdr:from>
    <xdr:to>
      <xdr:col>11</xdr:col>
      <xdr:colOff>485775</xdr:colOff>
      <xdr:row>21</xdr:row>
      <xdr:rowOff>114300</xdr:rowOff>
    </xdr:to>
    <xdr:graphicFrame macro="">
      <xdr:nvGraphicFramePr>
        <xdr:cNvPr id="2" name="Chart 1">
          <a:extLst>
            <a:ext uri="{FF2B5EF4-FFF2-40B4-BE49-F238E27FC236}">
              <a16:creationId xmlns:a16="http://schemas.microsoft.com/office/drawing/2014/main" id="{784E5003-93DA-B17F-5DC1-9E0E7C4AA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552450</xdr:colOff>
      <xdr:row>42</xdr:row>
      <xdr:rowOff>47625</xdr:rowOff>
    </xdr:from>
    <xdr:to>
      <xdr:col>11</xdr:col>
      <xdr:colOff>476250</xdr:colOff>
      <xdr:row>60</xdr:row>
      <xdr:rowOff>19050</xdr:rowOff>
    </xdr:to>
    <xdr:graphicFrame macro="">
      <xdr:nvGraphicFramePr>
        <xdr:cNvPr id="3" name="Chart 2">
          <a:extLst>
            <a:ext uri="{FF2B5EF4-FFF2-40B4-BE49-F238E27FC236}">
              <a16:creationId xmlns:a16="http://schemas.microsoft.com/office/drawing/2014/main" id="{3C2E6E8F-52A2-CC75-E327-119E8B5BF873}"/>
            </a:ext>
            <a:ext uri="{147F2762-F138-4A5C-976F-8EAC2B608ADB}">
              <a16:predDERef xmlns:a16="http://schemas.microsoft.com/office/drawing/2014/main" pred="{784E5003-93DA-B17F-5DC1-9E0E7C4AA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21</xdr:row>
      <xdr:rowOff>142875</xdr:rowOff>
    </xdr:from>
    <xdr:to>
      <xdr:col>11</xdr:col>
      <xdr:colOff>466725</xdr:colOff>
      <xdr:row>40</xdr:row>
      <xdr:rowOff>9525</xdr:rowOff>
    </xdr:to>
    <xdr:sp macro="" textlink="">
      <xdr:nvSpPr>
        <xdr:cNvPr id="4" name="TextBox 3">
          <a:extLst>
            <a:ext uri="{FF2B5EF4-FFF2-40B4-BE49-F238E27FC236}">
              <a16:creationId xmlns:a16="http://schemas.microsoft.com/office/drawing/2014/main" id="{8BAD09A6-042E-4DC7-9301-B2867E91A4F6}"/>
            </a:ext>
            <a:ext uri="{147F2762-F138-4A5C-976F-8EAC2B608ADB}">
              <a16:predDERef xmlns:a16="http://schemas.microsoft.com/office/drawing/2014/main" pred="{3C2E6E8F-52A2-CC75-E327-119E8B5BF873}"/>
            </a:ext>
          </a:extLst>
        </xdr:cNvPr>
        <xdr:cNvSpPr txBox="1"/>
      </xdr:nvSpPr>
      <xdr:spPr>
        <a:xfrm>
          <a:off x="3381375" y="3771900"/>
          <a:ext cx="5381625" cy="33051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u="none" strike="noStrike">
              <a:solidFill>
                <a:srgbClr val="000000"/>
              </a:solidFill>
              <a:latin typeface="Arial" panose="020B0604020202020204" pitchFamily="34" charset="0"/>
              <a:cs typeface="Arial" panose="020B0604020202020204" pitchFamily="34" charset="0"/>
            </a:rPr>
            <a:t>Guide Questions:</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At what harvest rate does the population collapse?</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In the given simulation, the population collapses at t = 21 when the harvest rate of H = 50 and t = 3 when the harvest rate is 200. Both harvest rates are higher than the population's natural regeneration rate of merely 0.1. A population collapses when what is being taken out (harvest rate) is more than what's being added (regeneration rate).</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How can such a model help in sustainable fishing?</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This particular model is a critical tool for predicting the long-term haelth of a fish population as it helps setting sustainable quotas and simulating policy consequences. For setting sustainable quotas, the model can be used to find the maximum sustainable yield by which the harvest rate is equal to the regeneration rate. This allows authorities to set fishing quotas that prevents the fish population from collapsing ensuring a stable food source and long-term industry. For simulating policy consequences, the model can act as an early warning system and allows policymakers and scientists simulate different scenarios to see future consequences of their decisions before they cause a real-world fish population destruction.</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19050</xdr:rowOff>
    </xdr:from>
    <xdr:to>
      <xdr:col>10</xdr:col>
      <xdr:colOff>600075</xdr:colOff>
      <xdr:row>23</xdr:row>
      <xdr:rowOff>0</xdr:rowOff>
    </xdr:to>
    <xdr:graphicFrame macro="">
      <xdr:nvGraphicFramePr>
        <xdr:cNvPr id="2" name="Chart 1">
          <a:extLst>
            <a:ext uri="{FF2B5EF4-FFF2-40B4-BE49-F238E27FC236}">
              <a16:creationId xmlns:a16="http://schemas.microsoft.com/office/drawing/2014/main" id="{BA064E29-D618-30CE-03FC-B4DC167DD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34</xdr:row>
      <xdr:rowOff>38100</xdr:rowOff>
    </xdr:from>
    <xdr:to>
      <xdr:col>11</xdr:col>
      <xdr:colOff>19050</xdr:colOff>
      <xdr:row>52</xdr:row>
      <xdr:rowOff>142875</xdr:rowOff>
    </xdr:to>
    <xdr:graphicFrame macro="">
      <xdr:nvGraphicFramePr>
        <xdr:cNvPr id="3" name="Chart 2">
          <a:extLst>
            <a:ext uri="{FF2B5EF4-FFF2-40B4-BE49-F238E27FC236}">
              <a16:creationId xmlns:a16="http://schemas.microsoft.com/office/drawing/2014/main" id="{00FD0620-93C6-1D3A-E43C-D8DFD61D7537}"/>
            </a:ext>
            <a:ext uri="{147F2762-F138-4A5C-976F-8EAC2B608ADB}">
              <a16:predDERef xmlns:a16="http://schemas.microsoft.com/office/drawing/2014/main" pred="{BA064E29-D618-30CE-03FC-B4DC167DD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581025</xdr:colOff>
      <xdr:row>57</xdr:row>
      <xdr:rowOff>9525</xdr:rowOff>
    </xdr:from>
    <xdr:to>
      <xdr:col>10</xdr:col>
      <xdr:colOff>523875</xdr:colOff>
      <xdr:row>75</xdr:row>
      <xdr:rowOff>161925</xdr:rowOff>
    </xdr:to>
    <xdr:graphicFrame macro="">
      <xdr:nvGraphicFramePr>
        <xdr:cNvPr id="4" name="Chart 3">
          <a:extLst>
            <a:ext uri="{FF2B5EF4-FFF2-40B4-BE49-F238E27FC236}">
              <a16:creationId xmlns:a16="http://schemas.microsoft.com/office/drawing/2014/main" id="{79661FA2-4664-F4AD-DD4E-851A2A429C0F}"/>
            </a:ext>
            <a:ext uri="{147F2762-F138-4A5C-976F-8EAC2B608ADB}">
              <a16:predDERef xmlns:a16="http://schemas.microsoft.com/office/drawing/2014/main" pred="{00FD0620-93C6-1D3A-E43C-D8DFD61D7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80</xdr:row>
      <xdr:rowOff>9525</xdr:rowOff>
    </xdr:from>
    <xdr:to>
      <xdr:col>10</xdr:col>
      <xdr:colOff>514350</xdr:colOff>
      <xdr:row>99</xdr:row>
      <xdr:rowOff>0</xdr:rowOff>
    </xdr:to>
    <xdr:graphicFrame macro="">
      <xdr:nvGraphicFramePr>
        <xdr:cNvPr id="5" name="Chart 4">
          <a:extLst>
            <a:ext uri="{FF2B5EF4-FFF2-40B4-BE49-F238E27FC236}">
              <a16:creationId xmlns:a16="http://schemas.microsoft.com/office/drawing/2014/main" id="{67CFBD20-776B-CCB1-102B-C839C67C0B25}"/>
            </a:ext>
            <a:ext uri="{147F2762-F138-4A5C-976F-8EAC2B608ADB}">
              <a16:predDERef xmlns:a16="http://schemas.microsoft.com/office/drawing/2014/main" pred="{79661FA2-4664-F4AD-DD4E-851A2A429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100</xdr:row>
      <xdr:rowOff>0</xdr:rowOff>
    </xdr:from>
    <xdr:to>
      <xdr:col>10</xdr:col>
      <xdr:colOff>600075</xdr:colOff>
      <xdr:row>110</xdr:row>
      <xdr:rowOff>104775</xdr:rowOff>
    </xdr:to>
    <xdr:sp macro="" textlink="">
      <xdr:nvSpPr>
        <xdr:cNvPr id="6" name="TextBox 5">
          <a:extLst>
            <a:ext uri="{FF2B5EF4-FFF2-40B4-BE49-F238E27FC236}">
              <a16:creationId xmlns:a16="http://schemas.microsoft.com/office/drawing/2014/main" id="{FD09D4B9-50E7-A4E9-47CD-464514DA3E45}"/>
            </a:ext>
            <a:ext uri="{147F2762-F138-4A5C-976F-8EAC2B608ADB}">
              <a16:predDERef xmlns:a16="http://schemas.microsoft.com/office/drawing/2014/main" pred="{67CFBD20-776B-CCB1-102B-C839C67C0B25}"/>
            </a:ext>
          </a:extLst>
        </xdr:cNvPr>
        <xdr:cNvSpPr txBox="1"/>
      </xdr:nvSpPr>
      <xdr:spPr>
        <a:xfrm>
          <a:off x="9525" y="18145125"/>
          <a:ext cx="8124825" cy="1914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u="none" strike="noStrike">
              <a:solidFill>
                <a:srgbClr val="000000"/>
              </a:solidFill>
              <a:latin typeface="Arial" panose="020B0604020202020204" pitchFamily="34" charset="0"/>
              <a:cs typeface="Arial" panose="020B0604020202020204" pitchFamily="34" charset="0"/>
            </a:rPr>
            <a:t>Guide Questions:</a:t>
          </a:r>
          <a:endParaRPr lang="en-US" sz="1100" b="1" u="none" strike="noStrike">
            <a:solidFill>
              <a:srgbClr val="000000"/>
            </a:solidFill>
            <a:latin typeface="Arial" panose="020B0604020202020204" pitchFamily="34" charset="0"/>
            <a:cs typeface="Arial" panose="020B0604020202020204" pitchFamily="34" charset="0"/>
          </a:endParaRPr>
        </a:p>
        <a:p>
          <a:pPr marL="0" indent="0" algn="l"/>
          <a:r>
            <a:rPr lang="en-US" sz="1100" b="1" u="none" strike="noStrike">
              <a:solidFill>
                <a:srgbClr val="000000"/>
              </a:solidFill>
              <a:latin typeface="Arial" panose="020B0604020202020204" pitchFamily="34" charset="0"/>
              <a:cs typeface="Arial" panose="020B0604020202020204" pitchFamily="34" charset="0"/>
            </a:rPr>
            <a:t>Does the voltage ever reach exactly 12V? </a:t>
          </a:r>
        </a:p>
        <a:p>
          <a:pPr marL="0" indent="0" algn="l"/>
          <a:r>
            <a:rPr lang="en-US" sz="1100" u="none" strike="noStrike">
              <a:solidFill>
                <a:srgbClr val="000000"/>
              </a:solidFill>
              <a:latin typeface="Arial" panose="020B0604020202020204" pitchFamily="34" charset="0"/>
              <a:cs typeface="Arial" panose="020B0604020202020204" pitchFamily="34" charset="0"/>
            </a:rPr>
            <a:t>Based on the first and original simulation, yes it did reach 12V if only R = 10k</a:t>
          </a:r>
          <a:r>
            <a:rPr lang="el-GR" sz="1100" u="none" strike="noStrike">
              <a:solidFill>
                <a:srgbClr val="000000"/>
              </a:solidFill>
              <a:latin typeface="Arial" panose="020B0604020202020204" pitchFamily="34" charset="0"/>
              <a:cs typeface="Arial" panose="020B0604020202020204" pitchFamily="34" charset="0"/>
            </a:rPr>
            <a:t>Ω </a:t>
          </a:r>
          <a:r>
            <a:rPr lang="en-US" sz="1100" u="none" strike="noStrike">
              <a:solidFill>
                <a:srgbClr val="000000"/>
              </a:solidFill>
              <a:latin typeface="Arial" panose="020B0604020202020204" pitchFamily="34" charset="0"/>
              <a:cs typeface="Arial" panose="020B0604020202020204" pitchFamily="34" charset="0"/>
            </a:rPr>
            <a:t>and C = 100</a:t>
          </a:r>
          <a:r>
            <a:rPr lang="el-GR" sz="1100" u="none" strike="noStrike">
              <a:solidFill>
                <a:srgbClr val="000000"/>
              </a:solidFill>
              <a:latin typeface="Arial" panose="020B0604020202020204" pitchFamily="34" charset="0"/>
              <a:cs typeface="Arial" panose="020B0604020202020204" pitchFamily="34" charset="0"/>
            </a:rPr>
            <a:t>μ</a:t>
          </a:r>
          <a:r>
            <a:rPr lang="en-US" sz="1100" u="none" strike="noStrike">
              <a:solidFill>
                <a:srgbClr val="000000"/>
              </a:solidFill>
              <a:latin typeface="Arial" panose="020B0604020202020204" pitchFamily="34" charset="0"/>
              <a:cs typeface="Arial" panose="020B0604020202020204" pitchFamily="34" charset="0"/>
            </a:rPr>
            <a:t>F because the RC constants equals to 1. In other simulations, where R or C was larger (simulations 2 and 3), the voltage gets closer and closer but never actually reaches 12V, it just approaches it (wherein the last time step voltage was around 10V.</a:t>
          </a:r>
        </a:p>
        <a:p>
          <a:pPr marL="0" indent="0" algn="l"/>
          <a:endParaRPr lang="en-US" sz="1100" b="1" u="none" strike="noStrike">
            <a:solidFill>
              <a:srgbClr val="000000"/>
            </a:solidFill>
            <a:latin typeface="Arial" panose="020B0604020202020204" pitchFamily="34" charset="0"/>
            <a:cs typeface="Arial" panose="020B0604020202020204" pitchFamily="34" charset="0"/>
          </a:endParaRPr>
        </a:p>
        <a:p>
          <a:pPr marL="0" indent="0" algn="l"/>
          <a:r>
            <a:rPr lang="en-US" sz="1100" b="1" u="none" strike="noStrike">
              <a:solidFill>
                <a:srgbClr val="000000"/>
              </a:solidFill>
              <a:latin typeface="Arial" panose="020B0604020202020204" pitchFamily="34" charset="0"/>
              <a:cs typeface="Arial" panose="020B0604020202020204" pitchFamily="34" charset="0"/>
            </a:rPr>
            <a:t>What is the physical meaning of a larger time constant (RC)?</a:t>
          </a:r>
        </a:p>
        <a:p>
          <a:pPr marL="0" indent="0" algn="l"/>
          <a:r>
            <a:rPr lang="en-US" sz="1100" u="none" strike="noStrike">
              <a:solidFill>
                <a:srgbClr val="000000"/>
              </a:solidFill>
              <a:latin typeface="Arial" panose="020B0604020202020204" pitchFamily="34" charset="0"/>
              <a:cs typeface="Arial" panose="020B0604020202020204" pitchFamily="34" charset="0"/>
            </a:rPr>
            <a:t>The p</a:t>
          </a:r>
          <a:r>
            <a:rPr lang="en-US" sz="1100" b="0" i="0" u="none" strike="noStrike">
              <a:solidFill>
                <a:srgbClr val="000000"/>
              </a:solidFill>
              <a:latin typeface="Arial" panose="020B0604020202020204" pitchFamily="34" charset="0"/>
              <a:cs typeface="Arial" panose="020B0604020202020204" pitchFamily="34" charset="0"/>
            </a:rPr>
            <a:t>hysical </a:t>
          </a:r>
          <a:r>
            <a:rPr lang="en-US" sz="1100" u="none" strike="noStrike">
              <a:solidFill>
                <a:srgbClr val="000000"/>
              </a:solidFill>
              <a:latin typeface="Arial" panose="020B0604020202020204" pitchFamily="34" charset="0"/>
              <a:cs typeface="Arial" panose="020B0604020202020204" pitchFamily="34" charset="0"/>
            </a:rPr>
            <a:t>meaning</a:t>
          </a:r>
          <a:r>
            <a:rPr lang="en-US" sz="1100" b="0" i="0" u="none" strike="noStrike">
              <a:solidFill>
                <a:srgbClr val="000000"/>
              </a:solidFill>
              <a:latin typeface="Arial" panose="020B0604020202020204" pitchFamily="34" charset="0"/>
              <a:cs typeface="Arial" panose="020B0604020202020204" pitchFamily="34" charset="0"/>
            </a:rPr>
            <a:t> of a larger constant (RC) is that the capacitor charges more slowly. A larger R (resistance) restricts the flow of electric current whereas a larger C (capacitance) means it takes more time and charge to fill up to the same voltage level. Both of these factors (larger R or C) increases the RC value which significantly affects and directly corresponds to a longer and more gradual charging time as seen in simulations 2, 3, and 4</a:t>
          </a:r>
          <a:endParaRPr lang="en-US" sz="1100" u="none" strike="noStrike">
            <a:solidFill>
              <a:srgbClr val="000000"/>
            </a:solidFill>
            <a:latin typeface="Arial" panose="020B0604020202020204" pitchFamily="34" charset="0"/>
            <a:cs typeface="Arial" panose="020B0604020202020204" pitchFamily="34" charset="0"/>
          </a:endParaRPr>
        </a:p>
        <a:p>
          <a:pPr marL="0" indent="0" algn="l"/>
          <a:endParaRPr lang="en-US" sz="1100">
            <a:latin typeface="+mn-lt"/>
            <a:ea typeface="+mn-lt"/>
            <a:cs typeface="+mn-lt"/>
          </a:endParaRPr>
        </a:p>
      </xdr:txBody>
    </xdr:sp>
    <xdr:clientData/>
  </xdr:twoCellAnchor>
  <xdr:twoCellAnchor>
    <xdr:from>
      <xdr:col>0</xdr:col>
      <xdr:colOff>0</xdr:colOff>
      <xdr:row>23</xdr:row>
      <xdr:rowOff>171450</xdr:rowOff>
    </xdr:from>
    <xdr:to>
      <xdr:col>10</xdr:col>
      <xdr:colOff>590550</xdr:colOff>
      <xdr:row>30</xdr:row>
      <xdr:rowOff>38100</xdr:rowOff>
    </xdr:to>
    <xdr:sp macro="" textlink="">
      <xdr:nvSpPr>
        <xdr:cNvPr id="7" name="TextBox 6">
          <a:extLst>
            <a:ext uri="{FF2B5EF4-FFF2-40B4-BE49-F238E27FC236}">
              <a16:creationId xmlns:a16="http://schemas.microsoft.com/office/drawing/2014/main" id="{1E18E22D-BFF5-4828-B12D-A3A2112E7563}"/>
            </a:ext>
            <a:ext uri="{147F2762-F138-4A5C-976F-8EAC2B608ADB}">
              <a16:predDERef xmlns:a16="http://schemas.microsoft.com/office/drawing/2014/main" pred="{FD09D4B9-50E7-A4E9-47CD-464514DA3E45}"/>
            </a:ext>
          </a:extLst>
        </xdr:cNvPr>
        <xdr:cNvSpPr txBox="1"/>
      </xdr:nvSpPr>
      <xdr:spPr>
        <a:xfrm>
          <a:off x="0" y="4352925"/>
          <a:ext cx="8124825" cy="11334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i="0" u="none" strike="noStrike">
              <a:solidFill>
                <a:srgbClr val="000000"/>
              </a:solidFill>
              <a:latin typeface="Arial" panose="020B0604020202020204" pitchFamily="34" charset="0"/>
              <a:cs typeface="Arial" panose="020B0604020202020204" pitchFamily="34" charset="0"/>
            </a:rPr>
            <a:t>Change R or C - how does it affect the charging time?</a:t>
          </a:r>
          <a:endParaRPr lang="en-US" sz="1100" b="0"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rial" panose="020B0604020202020204" pitchFamily="34" charset="0"/>
              <a:cs typeface="Arial" panose="020B0604020202020204" pitchFamily="34" charset="0"/>
            </a:rPr>
            <a:t>Yes, it does affect the charging time. In the first simulation, this effect is dramatic. Although t = 1 to t = 20 are constantly 12V, there is a rapid and instantaneous change from t = 0 to t = 1 wherein voltage jumps from 0V to 12V. This is because the values of R and C gives a constant of 1 which makes the capacitor charge instantly hitting exactly 12 V in the first time step. The change of R or C (or both) significantly affects the charging time, as seen in simulations 2, 3, and 4. Increasing either R or C resulted in a much slower, more gradual charge.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9525</xdr:colOff>
      <xdr:row>59</xdr:row>
      <xdr:rowOff>114300</xdr:rowOff>
    </xdr:to>
    <xdr:sp macro="" textlink="">
      <xdr:nvSpPr>
        <xdr:cNvPr id="2" name="TextBox 1">
          <a:extLst>
            <a:ext uri="{FF2B5EF4-FFF2-40B4-BE49-F238E27FC236}">
              <a16:creationId xmlns:a16="http://schemas.microsoft.com/office/drawing/2014/main" id="{E07BB657-35B3-156E-6CCE-087F799A9075}"/>
            </a:ext>
          </a:extLst>
        </xdr:cNvPr>
        <xdr:cNvSpPr txBox="1"/>
      </xdr:nvSpPr>
      <xdr:spPr>
        <a:xfrm>
          <a:off x="0" y="0"/>
          <a:ext cx="7324725" cy="113538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Reflection Questions</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trend or pattern did you notice in your simulation?</a:t>
          </a:r>
        </a:p>
        <a:p>
          <a:pPr marL="0" indent="0" algn="l"/>
          <a:r>
            <a:rPr lang="en-US" sz="1100" b="1" i="0" u="none" strike="noStrike">
              <a:solidFill>
                <a:srgbClr val="000000"/>
              </a:solidFill>
              <a:latin typeface="Arial" panose="020B0604020202020204" pitchFamily="34" charset="0"/>
              <a:cs typeface="Arial" panose="020B0604020202020204" pitchFamily="34" charset="0"/>
            </a:rPr>
            <a:t>Spread of Infectious Disease Model - </a:t>
          </a:r>
          <a:r>
            <a:rPr lang="en-US" sz="1100" b="0" i="0" u="none" strike="noStrike">
              <a:solidFill>
                <a:srgbClr val="000000"/>
              </a:solidFill>
              <a:latin typeface="Arial" panose="020B0604020202020204" pitchFamily="34" charset="0"/>
              <a:cs typeface="Arial" panose="020B0604020202020204" pitchFamily="34" charset="0"/>
            </a:rPr>
            <a:t>The simulation showed a clear progression of an epidemic. The Susceptible population steadily decreased as the Infected population increased with a peak value (approximately 0.4268 or 42.68%) and then declined. Meanwhile, the Recovered population consistently increased which become the largest group at day 40.</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Predator-Prey Interaction (Lotka-Volterra Model) - </a:t>
          </a:r>
          <a:r>
            <a:rPr lang="en-US" sz="1100" b="0" i="0" u="none" strike="noStrike">
              <a:solidFill>
                <a:srgbClr val="000000"/>
              </a:solidFill>
              <a:latin typeface="Arial" panose="020B0604020202020204" pitchFamily="34" charset="0"/>
              <a:cs typeface="Arial" panose="020B0604020202020204" pitchFamily="34" charset="0"/>
            </a:rPr>
            <a:t>The model demonstrated a continuous oscillating cycle, meaning the populations fluctuate up and down in a repeating pattern. The prey, starting with an initial population of 40, increased first. This growing food source eventually allowed the predator population to grow as well, lagging behind the prey's peak. At first, the predators (starting at 9) were decreasing, but then at some point, their population began to increase again, confirming this continuous oscillating cycle. While this specific simulation shows a stable cycle, in such models, even slight parameter changes can break this pattern, causing populations to either converge to a stable point or diverge toward collapse.</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Resource Depletion and Regeneration Model - </a:t>
          </a:r>
          <a:r>
            <a:rPr lang="en-US" sz="1100" b="0" i="0" u="none" strike="noStrike">
              <a:solidFill>
                <a:srgbClr val="000000"/>
              </a:solidFill>
              <a:latin typeface="Arial" panose="020B0604020202020204" pitchFamily="34" charset="0"/>
              <a:cs typeface="Arial" panose="020B0604020202020204" pitchFamily="34" charset="0"/>
            </a:rPr>
            <a:t>If the harvest rate is greater than the regeneration rate then there will be a rapid resource population decline. In order for the harvest rate to be sustainable, it needs to reconsider the regeneration rate of the resource; specifically, the model can be used to find the maximum sustainable yield by determinining the point at which the harvest rate equals the regeneration rate. </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RC Circuit Model - </a:t>
          </a:r>
          <a:r>
            <a:rPr lang="en-US" sz="1100" b="0" i="0" u="none" strike="noStrike">
              <a:solidFill>
                <a:srgbClr val="000000"/>
              </a:solidFill>
              <a:latin typeface="Arial" panose="020B0604020202020204" pitchFamily="34" charset="0"/>
              <a:cs typeface="Arial" panose="020B0604020202020204" pitchFamily="34" charset="0"/>
            </a:rPr>
            <a:t>The trend was an asymptomatic charge. For the first and original simulation, the voltage started at 0 and increased at the maximum voltage given and maintained it for the rest of the time in steps. As for the other simulations wherein R or C was increased, there was a gradual increase for the voltage wherein it approaches approximately to the maximum voltage given</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How did changing parameters affect system behavior?</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Changing parameters have significant influence and directly effects the outcomes of each simulation models. For instance,</a:t>
          </a:r>
          <a:endParaRPr lang="en-US" sz="1100" b="1"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100" b="1" i="0" u="none" strike="noStrike">
              <a:solidFill>
                <a:srgbClr val="000000"/>
              </a:solidFill>
              <a:latin typeface="Arial" panose="020B0604020202020204" pitchFamily="34" charset="0"/>
              <a:cs typeface="Arial" panose="020B0604020202020204" pitchFamily="34" charset="0"/>
            </a:rPr>
            <a:t>Spread of Infectious Disease Model - </a:t>
          </a:r>
          <a:r>
            <a:rPr lang="en-US" sz="1100" b="0" i="0" u="none" strike="noStrike">
              <a:solidFill>
                <a:srgbClr val="000000"/>
              </a:solidFill>
              <a:latin typeface="Arial" panose="020B0604020202020204" pitchFamily="34" charset="0"/>
              <a:cs typeface="Arial" panose="020B0604020202020204" pitchFamily="34" charset="0"/>
            </a:rPr>
            <a:t>Increasing the recovery rate would have two main effects to the simulation wherein the infection would peak at a lower percentage and the epidemic would end more quickly since most people are immune and there is less susceptible people to infect.</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Resource Depletion and Regeneration Model - </a:t>
          </a:r>
          <a:r>
            <a:rPr lang="en-US" sz="1100" b="0" i="0" u="none" strike="noStrike">
              <a:solidFill>
                <a:srgbClr val="000000"/>
              </a:solidFill>
              <a:latin typeface="Arial" panose="020B0604020202020204" pitchFamily="34" charset="0"/>
              <a:cs typeface="Arial" panose="020B0604020202020204" pitchFamily="34" charset="0"/>
            </a:rPr>
            <a:t>Evident in showing affecting outcomes. When the harvest rate was increased to 200 the resource population depleted instantaneously when t = 3. This shows that the model is highly sensitive to parameter changes especially in harvest rate.</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RC Circuit Model - </a:t>
          </a:r>
          <a:r>
            <a:rPr lang="en-US" sz="1100" b="0" i="0" u="none" strike="noStrike">
              <a:solidFill>
                <a:srgbClr val="000000"/>
              </a:solidFill>
              <a:latin typeface="Arial" panose="020B0604020202020204" pitchFamily="34" charset="0"/>
              <a:cs typeface="Arial" panose="020B0604020202020204" pitchFamily="34" charset="0"/>
            </a:rPr>
            <a:t>In the capacitor model, changing the resistance and capacitor directly can impact the charging time. The initial simulation caused an instantaneous change by jumping from 0V to 12V. However, it is more apparent when the resistance and capacitor value wherein each of them were increased and both increased which shows a slower and gradual charge. A larger resistance restricts the electric current flow while a larger capacitance requires more charge to fill which both lengthen the charging time which explains why the trend for these simulations were asymptomatic to the maximum voltage given.</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Did the system reach equilibrium, oscillate, or diverge?</a:t>
          </a:r>
        </a:p>
        <a:p>
          <a:pPr marL="0" marR="0" indent="0" algn="l">
            <a:lnSpc>
              <a:spcPct val="100000"/>
            </a:lnSpc>
            <a:spcBef>
              <a:spcPts val="0"/>
            </a:spcBef>
            <a:spcAft>
              <a:spcPts val="0"/>
            </a:spcAft>
          </a:pPr>
          <a:r>
            <a:rPr lang="en-US" sz="1100" b="1" i="0" u="none" strike="noStrike">
              <a:solidFill>
                <a:srgbClr val="000000"/>
              </a:solidFill>
              <a:latin typeface="Arial" panose="020B0604020202020204" pitchFamily="34" charset="0"/>
              <a:cs typeface="Arial" panose="020B0604020202020204" pitchFamily="34" charset="0"/>
            </a:rPr>
            <a:t>Spread of Infectious Disease Model </a:t>
          </a:r>
          <a:r>
            <a:rPr lang="en-US" sz="1100" b="0" i="0" u="none" strike="noStrike">
              <a:solidFill>
                <a:srgbClr val="000000"/>
              </a:solidFill>
              <a:latin typeface="Arial" panose="020B0604020202020204" pitchFamily="34" charset="0"/>
              <a:cs typeface="Arial" panose="020B0604020202020204" pitchFamily="34" charset="0"/>
            </a:rPr>
            <a:t>- Showed reaching equilibrium as the number of infected individuals peaked at day 21 and then declined approachingly to zero. The susceptible and recovered populations stablized at new and constant levels as the epidemics burned out.</a:t>
          </a:r>
          <a:endParaRPr lang="en-US" sz="1100" b="1"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100" b="1" i="0" u="none" strike="noStrike">
              <a:solidFill>
                <a:srgbClr val="000000"/>
              </a:solidFill>
              <a:latin typeface="Arial" panose="020B0604020202020204" pitchFamily="34" charset="0"/>
              <a:cs typeface="Arial" panose="020B0604020202020204" pitchFamily="34" charset="0"/>
            </a:rPr>
            <a:t>Predator-Prey (Lotka-Volterra Model) - </a:t>
          </a:r>
          <a:r>
            <a:rPr lang="en-US" sz="1100" b="0" i="0" u="none" strike="noStrike">
              <a:solidFill>
                <a:srgbClr val="000000"/>
              </a:solidFill>
              <a:latin typeface="Arial" panose="020B0604020202020204" pitchFamily="34" charset="0"/>
              <a:cs typeface="Arial" panose="020B0604020202020204" pitchFamily="34" charset="0"/>
            </a:rPr>
            <a:t>Showed oscillations wherein the population cycles continuously. This is particularly evident in the coexistence equilibrium wherein the prey should be 100 and predators should be 10 which makes the system neutrally stable with populations oscillating around this balance.</a:t>
          </a:r>
          <a:endParaRPr lang="en-US" sz="1100" b="1"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100" b="1" i="0" u="none" strike="noStrike">
              <a:solidFill>
                <a:srgbClr val="000000"/>
              </a:solidFill>
              <a:latin typeface="Arial" panose="020B0604020202020204" pitchFamily="34" charset="0"/>
              <a:cs typeface="Arial" panose="020B0604020202020204" pitchFamily="34" charset="0"/>
            </a:rPr>
            <a:t>Resource Depletion Model - </a:t>
          </a:r>
          <a:r>
            <a:rPr lang="en-US" sz="1100" b="0" i="0" u="none" strike="noStrike">
              <a:solidFill>
                <a:srgbClr val="000000"/>
              </a:solidFill>
              <a:latin typeface="Arial" panose="020B0604020202020204" pitchFamily="34" charset="0"/>
              <a:cs typeface="Arial" panose="020B0604020202020204" pitchFamily="34" charset="0"/>
            </a:rPr>
            <a:t>Showed divergence to a state of collapse. The resource level was driven to zero and did not even reached the time steps given when the harvest rate was set to 50 and 200 as they were higher than the population's natural regeneration rate leading to a stable but depleted equilibrium of 0.</a:t>
          </a:r>
          <a:endParaRPr lang="en-US" sz="1100" b="1"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100" b="1" i="0" u="none" strike="noStrike">
              <a:solidFill>
                <a:srgbClr val="000000"/>
              </a:solidFill>
              <a:latin typeface="Arial" panose="020B0604020202020204" pitchFamily="34" charset="0"/>
              <a:cs typeface="Arial" panose="020B0604020202020204" pitchFamily="34" charset="0"/>
            </a:rPr>
            <a:t>RC Circuit Model - </a:t>
          </a:r>
          <a:r>
            <a:rPr lang="en-US" sz="1100" b="0" i="0" u="none" strike="noStrike">
              <a:solidFill>
                <a:srgbClr val="000000"/>
              </a:solidFill>
              <a:latin typeface="Arial" panose="020B0604020202020204" pitchFamily="34" charset="0"/>
              <a:cs typeface="Arial" panose="020B0604020202020204" pitchFamily="34" charset="0"/>
            </a:rPr>
            <a:t>Showed equilibrium on the first simulation wherein it started at 0V and instantaneously jumped to 12V. Other simulations also showed a gradual and asymptomatic charge to the maximum voltage given.</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What assumptions in your model might not hold true in reality?</a:t>
          </a:r>
        </a:p>
        <a:p>
          <a:pPr marL="0" indent="0" algn="l"/>
          <a:r>
            <a:rPr lang="en-US" sz="1100" b="1" i="0" u="none" strike="noStrike">
              <a:solidFill>
                <a:srgbClr val="000000"/>
              </a:solidFill>
              <a:latin typeface="Arial" panose="020B0604020202020204" pitchFamily="34" charset="0"/>
              <a:cs typeface="Arial" panose="020B0604020202020204" pitchFamily="34" charset="0"/>
            </a:rPr>
            <a:t>SIR Model - </a:t>
          </a:r>
          <a:r>
            <a:rPr lang="en-US" sz="1100" b="0" i="0" u="none" strike="noStrike">
              <a:solidFill>
                <a:srgbClr val="000000"/>
              </a:solidFill>
              <a:latin typeface="Arial" panose="020B0604020202020204" pitchFamily="34" charset="0"/>
              <a:cs typeface="Arial" panose="020B0604020202020204" pitchFamily="34" charset="0"/>
            </a:rPr>
            <a:t>This model assumes that the recovered individuals gain permanent immunity and cannot be reinfected when in reality immunity for many diseases can wane over time. The model also assumes that the fuel for the epidemic are existing susceptible people and did not take account new births.</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Predator-Prey (Lotka-Volterra Model) - </a:t>
          </a:r>
          <a:r>
            <a:rPr lang="en-US" sz="1100" b="0" i="0" u="none" strike="noStrike">
              <a:solidFill>
                <a:srgbClr val="000000"/>
              </a:solidFill>
              <a:latin typeface="Arial" panose="020B0604020202020204" pitchFamily="34" charset="0"/>
              <a:cs typeface="Arial" panose="020B0604020202020204" pitchFamily="34" charset="0"/>
            </a:rPr>
            <a:t>This model assumes that the predator population's survival is only tied to a single prey psecies and the prey's only threat is a single predator. In reality, predators can have multiple food sources and prey also faces other dangers like disease and competition.</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Resource Depletion and Regeneration Model - </a:t>
          </a:r>
          <a:r>
            <a:rPr lang="en-US" sz="1100" b="0" i="0" u="none" strike="noStrike">
              <a:solidFill>
                <a:srgbClr val="000000"/>
              </a:solidFill>
              <a:latin typeface="Arial" panose="020B0604020202020204" pitchFamily="34" charset="0"/>
              <a:cs typeface="Arial" panose="020B0604020202020204" pitchFamily="34" charset="0"/>
            </a:rPr>
            <a:t>This model assumes that harvest rate is normal regardless of how scarce the resource becomes. In real world fishing scenario, a lower resource population makes fishing less efficient or profitable which causes decline in harvest rate and affecting the socioeconomic status of fishermen.</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RC Circuit Model - </a:t>
          </a:r>
          <a:r>
            <a:rPr lang="en-US" sz="1100" b="0" i="0" u="none" strike="noStrike">
              <a:solidFill>
                <a:srgbClr val="000000"/>
              </a:solidFill>
              <a:latin typeface="Arial" panose="020B0604020202020204" pitchFamily="34" charset="0"/>
              <a:cs typeface="Arial" panose="020B0604020202020204" pitchFamily="34" charset="0"/>
            </a:rPr>
            <a:t>This first simulation showed an instantaneous jump from 0V to 12V in a single time step which is too idealistic and does not consider physical reality. A real circuit cannot charge instantaneously.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EF1E-10F2-4CCC-80B9-DFA418274DF3}">
  <sheetPr>
    <pageSetUpPr fitToPage="1"/>
  </sheetPr>
  <dimension ref="A1:G43"/>
  <sheetViews>
    <sheetView topLeftCell="A30" workbookViewId="0">
      <selection sqref="A1:D1"/>
    </sheetView>
  </sheetViews>
  <sheetFormatPr defaultRowHeight="14.25"/>
  <cols>
    <col min="1" max="1" width="5.85546875" style="2" bestFit="1" customWidth="1"/>
    <col min="2" max="4" width="26" style="1" bestFit="1" customWidth="1"/>
    <col min="5" max="5" width="9.140625" style="1"/>
    <col min="6" max="6" width="16.7109375" style="1" bestFit="1" customWidth="1"/>
    <col min="7" max="7" width="24.85546875" style="1" bestFit="1" customWidth="1"/>
    <col min="8" max="16384" width="9.140625" style="1"/>
  </cols>
  <sheetData>
    <row r="1" spans="1:7" ht="15">
      <c r="A1" s="15" t="s">
        <v>0</v>
      </c>
      <c r="B1" s="15"/>
      <c r="C1" s="15"/>
      <c r="D1" s="15"/>
    </row>
    <row r="2" spans="1:7" ht="15">
      <c r="A2" s="3" t="s">
        <v>1</v>
      </c>
      <c r="B2" s="3" t="s">
        <v>2</v>
      </c>
      <c r="C2" s="3" t="s">
        <v>3</v>
      </c>
      <c r="D2" s="3" t="s">
        <v>4</v>
      </c>
      <c r="F2" s="1" t="s">
        <v>5</v>
      </c>
      <c r="G2" s="1">
        <v>0.4</v>
      </c>
    </row>
    <row r="3" spans="1:7">
      <c r="A3" s="1">
        <v>0</v>
      </c>
      <c r="B3" s="5">
        <v>0.99</v>
      </c>
      <c r="C3" s="5">
        <v>0.01</v>
      </c>
      <c r="D3" s="5">
        <v>0</v>
      </c>
      <c r="F3" s="1" t="s">
        <v>6</v>
      </c>
      <c r="G3" s="1">
        <v>0.1</v>
      </c>
    </row>
    <row r="4" spans="1:7">
      <c r="A4" s="1">
        <v>1</v>
      </c>
      <c r="B4" s="5">
        <f>B3-($G$2*B3*C3)</f>
        <v>0.98604000000000003</v>
      </c>
      <c r="C4" s="5">
        <f>C3+($G$2*B3*C3)-($G$3*C3)</f>
        <v>1.2959999999999999E-2</v>
      </c>
      <c r="D4" s="5">
        <f>D3+($G$3*C3)</f>
        <v>1E-3</v>
      </c>
      <c r="F4" s="1" t="s">
        <v>7</v>
      </c>
      <c r="G4" s="1">
        <v>1</v>
      </c>
    </row>
    <row r="5" spans="1:7">
      <c r="A5" s="1">
        <v>2</v>
      </c>
      <c r="B5" s="5">
        <f t="shared" ref="B5:B26" si="0">B4-($G$2*B4*C4)</f>
        <v>0.98092836863999999</v>
      </c>
      <c r="C5" s="5">
        <f t="shared" ref="C5:C26" si="1">C4+($G$2*B4*C4)-($G$3*C4)</f>
        <v>1.6775631360000001E-2</v>
      </c>
      <c r="D5" s="5">
        <f t="shared" ref="D5:D26" si="2">D4+($G$3*C4)</f>
        <v>2.2960000000000003E-3</v>
      </c>
    </row>
    <row r="6" spans="1:7">
      <c r="A6" s="1">
        <v>3</v>
      </c>
      <c r="B6" s="5">
        <f t="shared" si="0"/>
        <v>0.97434609155885166</v>
      </c>
      <c r="C6" s="5">
        <f t="shared" si="1"/>
        <v>2.168034530514833E-2</v>
      </c>
      <c r="D6" s="5">
        <f t="shared" si="2"/>
        <v>3.9735631360000006E-3</v>
      </c>
      <c r="F6" s="7" t="s">
        <v>8</v>
      </c>
      <c r="G6" s="6">
        <f>MAX(C3:C43)</f>
        <v>0.4268408084857151</v>
      </c>
    </row>
    <row r="7" spans="1:7">
      <c r="A7" s="1">
        <v>4</v>
      </c>
      <c r="B7" s="5">
        <f t="shared" si="0"/>
        <v>0.96589642767416461</v>
      </c>
      <c r="C7" s="5">
        <f t="shared" si="1"/>
        <v>2.7961974659320529E-2</v>
      </c>
      <c r="D7" s="5">
        <f t="shared" si="2"/>
        <v>6.1415976665148333E-3</v>
      </c>
      <c r="F7" s="1" t="s">
        <v>9</v>
      </c>
    </row>
    <row r="8" spans="1:7">
      <c r="A8" s="1">
        <v>5</v>
      </c>
      <c r="B8" s="5">
        <f t="shared" si="0"/>
        <v>0.95509307910050334</v>
      </c>
      <c r="C8" s="5">
        <f t="shared" si="1"/>
        <v>3.5969125767049769E-2</v>
      </c>
      <c r="D8" s="5">
        <f t="shared" si="2"/>
        <v>8.9377951324468869E-3</v>
      </c>
      <c r="F8" s="1" t="s">
        <v>10</v>
      </c>
    </row>
    <row r="9" spans="1:7">
      <c r="A9" s="1">
        <v>6</v>
      </c>
      <c r="B9" s="5">
        <f t="shared" si="0"/>
        <v>0.94135153386794146</v>
      </c>
      <c r="C9" s="5">
        <f t="shared" si="1"/>
        <v>4.6113758422906721E-2</v>
      </c>
      <c r="D9" s="5">
        <f t="shared" si="2"/>
        <v>1.2534707709151865E-2</v>
      </c>
      <c r="F9" s="1" t="s">
        <v>11</v>
      </c>
    </row>
    <row r="10" spans="1:7">
      <c r="A10" s="1">
        <v>7</v>
      </c>
      <c r="B10" s="5">
        <f t="shared" si="0"/>
        <v>0.92398783097841386</v>
      </c>
      <c r="C10" s="5">
        <f t="shared" si="1"/>
        <v>5.8866085470143631E-2</v>
      </c>
      <c r="D10" s="5">
        <f t="shared" si="2"/>
        <v>1.7146083551442537E-2</v>
      </c>
    </row>
    <row r="11" spans="1:7">
      <c r="A11" s="1">
        <v>8</v>
      </c>
      <c r="B11" s="5">
        <f t="shared" si="0"/>
        <v>0.90223121232571468</v>
      </c>
      <c r="C11" s="5">
        <f t="shared" si="1"/>
        <v>7.4736095575828443E-2</v>
      </c>
      <c r="D11" s="5">
        <f t="shared" si="2"/>
        <v>2.3032692098456899E-2</v>
      </c>
    </row>
    <row r="12" spans="1:7">
      <c r="A12" s="1">
        <v>9</v>
      </c>
      <c r="B12" s="5">
        <f t="shared" si="0"/>
        <v>0.87525951707936656</v>
      </c>
      <c r="C12" s="5">
        <f t="shared" si="1"/>
        <v>9.4234181264593667E-2</v>
      </c>
      <c r="D12" s="5">
        <f t="shared" si="2"/>
        <v>3.0506301656039743E-2</v>
      </c>
    </row>
    <row r="13" spans="1:7">
      <c r="A13" s="1">
        <v>10</v>
      </c>
      <c r="B13" s="5">
        <f t="shared" si="0"/>
        <v>0.84226777148495946</v>
      </c>
      <c r="C13" s="5">
        <f t="shared" si="1"/>
        <v>0.11780250873254139</v>
      </c>
      <c r="D13" s="5">
        <f t="shared" si="2"/>
        <v>3.992971978249911E-2</v>
      </c>
    </row>
    <row r="14" spans="1:7">
      <c r="A14" s="1">
        <v>11</v>
      </c>
      <c r="B14" s="5">
        <f t="shared" si="0"/>
        <v>0.80257926888276143</v>
      </c>
      <c r="C14" s="5">
        <f t="shared" si="1"/>
        <v>0.14571076046148532</v>
      </c>
      <c r="D14" s="5">
        <f t="shared" si="2"/>
        <v>5.1709970655753251E-2</v>
      </c>
    </row>
    <row r="15" spans="1:7">
      <c r="A15" s="1">
        <v>12</v>
      </c>
      <c r="B15" s="5">
        <f t="shared" si="0"/>
        <v>0.75580149464294943</v>
      </c>
      <c r="C15" s="5">
        <f t="shared" si="1"/>
        <v>0.1779174586551488</v>
      </c>
      <c r="D15" s="5">
        <f t="shared" si="2"/>
        <v>6.6281046701901783E-2</v>
      </c>
    </row>
    <row r="16" spans="1:7">
      <c r="A16" s="1">
        <v>13</v>
      </c>
      <c r="B16" s="5">
        <f t="shared" si="0"/>
        <v>0.70201338217309472</v>
      </c>
      <c r="C16" s="5">
        <f t="shared" si="1"/>
        <v>0.21391382525948857</v>
      </c>
      <c r="D16" s="5">
        <f t="shared" si="2"/>
        <v>8.4072792567416663E-2</v>
      </c>
    </row>
    <row r="17" spans="1:4">
      <c r="A17" s="1">
        <v>14</v>
      </c>
      <c r="B17" s="5">
        <f t="shared" si="0"/>
        <v>0.64194523498749556</v>
      </c>
      <c r="C17" s="5">
        <f t="shared" si="1"/>
        <v>0.25259058991913891</v>
      </c>
      <c r="D17" s="5">
        <f t="shared" si="2"/>
        <v>0.10546417509336552</v>
      </c>
    </row>
    <row r="18" spans="1:4">
      <c r="A18" s="1">
        <v>15</v>
      </c>
      <c r="B18" s="5">
        <f t="shared" si="0"/>
        <v>0.57708550474698683</v>
      </c>
      <c r="C18" s="5">
        <f t="shared" si="1"/>
        <v>0.2921912611677337</v>
      </c>
      <c r="D18" s="5">
        <f t="shared" si="2"/>
        <v>0.13072323408527942</v>
      </c>
    </row>
    <row r="19" spans="1:4">
      <c r="A19" s="1">
        <v>16</v>
      </c>
      <c r="B19" s="5">
        <f t="shared" si="0"/>
        <v>0.50963776817353068</v>
      </c>
      <c r="C19" s="5">
        <f t="shared" si="1"/>
        <v>0.33041987162441644</v>
      </c>
      <c r="D19" s="5">
        <f t="shared" si="2"/>
        <v>0.1599423602020528</v>
      </c>
    </row>
    <row r="20" spans="1:4">
      <c r="A20" s="1">
        <v>17</v>
      </c>
      <c r="B20" s="5">
        <f t="shared" si="0"/>
        <v>0.44227998979958982</v>
      </c>
      <c r="C20" s="5">
        <f t="shared" si="1"/>
        <v>0.36473566283591563</v>
      </c>
      <c r="D20" s="5">
        <f t="shared" si="2"/>
        <v>0.19298434736449444</v>
      </c>
    </row>
    <row r="21" spans="1:4">
      <c r="A21" s="1">
        <v>18</v>
      </c>
      <c r="B21" s="5">
        <f t="shared" si="0"/>
        <v>0.37775387570414365</v>
      </c>
      <c r="C21" s="5">
        <f t="shared" si="1"/>
        <v>0.39278821064777025</v>
      </c>
      <c r="D21" s="5">
        <f t="shared" si="2"/>
        <v>0.22945791364808599</v>
      </c>
    </row>
    <row r="22" spans="1:4">
      <c r="A22" s="1">
        <v>19</v>
      </c>
      <c r="B22" s="5">
        <f t="shared" si="0"/>
        <v>0.31840296814290731</v>
      </c>
      <c r="C22" s="5">
        <f t="shared" si="1"/>
        <v>0.41286029714422956</v>
      </c>
      <c r="D22" s="5">
        <f t="shared" si="2"/>
        <v>0.26873673471286302</v>
      </c>
    </row>
    <row r="23" spans="1:4">
      <c r="A23" s="1">
        <v>20</v>
      </c>
      <c r="B23" s="5">
        <f t="shared" si="0"/>
        <v>0.26582059052727314</v>
      </c>
      <c r="C23" s="5">
        <f t="shared" si="1"/>
        <v>0.42415664504544076</v>
      </c>
      <c r="D23" s="5">
        <f t="shared" si="2"/>
        <v>0.31002276442728599</v>
      </c>
    </row>
    <row r="24" spans="1:4">
      <c r="A24" s="7">
        <v>21</v>
      </c>
      <c r="B24" s="5">
        <f t="shared" si="0"/>
        <v>0.22072076258245471</v>
      </c>
      <c r="C24" s="6">
        <f t="shared" si="1"/>
        <v>0.4268408084857151</v>
      </c>
      <c r="D24" s="5">
        <f t="shared" si="2"/>
        <v>0.35243842893183008</v>
      </c>
    </row>
    <row r="25" spans="1:4">
      <c r="A25" s="1">
        <v>22</v>
      </c>
      <c r="B25" s="5">
        <f t="shared" si="0"/>
        <v>0.18303571108234329</v>
      </c>
      <c r="C25" s="5">
        <f t="shared" si="1"/>
        <v>0.42184177913725501</v>
      </c>
      <c r="D25" s="5">
        <f t="shared" si="2"/>
        <v>0.39512250978040159</v>
      </c>
    </row>
    <row r="26" spans="1:4">
      <c r="A26" s="1">
        <v>23</v>
      </c>
      <c r="B26" s="5">
        <f t="shared" si="0"/>
        <v>0.15215086707889197</v>
      </c>
      <c r="C26" s="5">
        <f t="shared" si="1"/>
        <v>0.4105424452269808</v>
      </c>
      <c r="D26" s="5">
        <f t="shared" si="2"/>
        <v>0.43730668769412706</v>
      </c>
    </row>
    <row r="27" spans="1:4">
      <c r="A27" s="1">
        <v>24</v>
      </c>
      <c r="B27" s="5">
        <f t="shared" ref="B27:B43" si="3">B26-($G$2*B26*C26)</f>
        <v>0.12716511147330251</v>
      </c>
      <c r="C27" s="5">
        <f t="shared" ref="C27:C43" si="4">C26+($G$2*B26*C26)-($G$3*C26)</f>
        <v>0.3944739563098722</v>
      </c>
      <c r="D27" s="5">
        <f t="shared" ref="D27:D43" si="5">D26+($G$3*C26)</f>
        <v>0.47836093221682513</v>
      </c>
    </row>
    <row r="28" spans="1:4">
      <c r="A28" s="1">
        <v>25</v>
      </c>
      <c r="B28" s="5">
        <f t="shared" si="3"/>
        <v>0.10709978162231867</v>
      </c>
      <c r="C28" s="5">
        <f t="shared" si="4"/>
        <v>0.3750918905298688</v>
      </c>
      <c r="D28" s="5">
        <f t="shared" si="5"/>
        <v>0.51780832784781239</v>
      </c>
    </row>
    <row r="29" spans="1:4">
      <c r="A29" s="1">
        <v>26</v>
      </c>
      <c r="B29" s="5">
        <f t="shared" si="3"/>
        <v>9.1030877796698023E-2</v>
      </c>
      <c r="C29" s="5">
        <f t="shared" si="4"/>
        <v>0.35365160530250256</v>
      </c>
      <c r="D29" s="5">
        <f t="shared" si="5"/>
        <v>0.55531751690079922</v>
      </c>
    </row>
    <row r="30" spans="1:4">
      <c r="A30" s="1">
        <v>27</v>
      </c>
      <c r="B30" s="5">
        <f t="shared" si="3"/>
        <v>7.815359137073874E-2</v>
      </c>
      <c r="C30" s="5">
        <f t="shared" si="4"/>
        <v>0.33116373119821158</v>
      </c>
      <c r="D30" s="5">
        <f t="shared" si="5"/>
        <v>0.59068267743104952</v>
      </c>
    </row>
    <row r="31" spans="1:4">
      <c r="A31" s="1">
        <v>28</v>
      </c>
      <c r="B31" s="5">
        <f t="shared" si="3"/>
        <v>6.780093740078906E-2</v>
      </c>
      <c r="C31" s="5">
        <f t="shared" si="4"/>
        <v>0.30840001204834011</v>
      </c>
      <c r="D31" s="5">
        <f t="shared" si="5"/>
        <v>0.6237990505508707</v>
      </c>
    </row>
    <row r="32" spans="1:4">
      <c r="A32" s="1">
        <v>29</v>
      </c>
      <c r="B32" s="5">
        <f t="shared" si="3"/>
        <v>5.9437013436272224E-2</v>
      </c>
      <c r="C32" s="5">
        <f t="shared" si="4"/>
        <v>0.28592393480802297</v>
      </c>
      <c r="D32" s="5">
        <f t="shared" si="5"/>
        <v>0.65463905175570469</v>
      </c>
    </row>
    <row r="33" spans="1:5">
      <c r="A33" s="1">
        <v>30</v>
      </c>
      <c r="B33" s="5">
        <f t="shared" si="3"/>
        <v>5.2639227534297707E-2</v>
      </c>
      <c r="C33" s="5">
        <f t="shared" si="4"/>
        <v>0.26412932722919519</v>
      </c>
      <c r="D33" s="5">
        <f t="shared" si="5"/>
        <v>0.68323144523650703</v>
      </c>
    </row>
    <row r="34" spans="1:5" ht="15">
      <c r="A34" s="1">
        <v>31</v>
      </c>
      <c r="B34" s="5">
        <f t="shared" si="3"/>
        <v>4.7077802032498277E-2</v>
      </c>
      <c r="C34" s="5">
        <f t="shared" si="4"/>
        <v>0.2432778200080751</v>
      </c>
      <c r="D34" s="5">
        <f t="shared" si="5"/>
        <v>0.70964437795942659</v>
      </c>
      <c r="E34" s="4"/>
    </row>
    <row r="35" spans="1:5">
      <c r="A35" s="1">
        <v>32</v>
      </c>
      <c r="B35" s="5">
        <f t="shared" si="3"/>
        <v>4.2496608012803111E-2</v>
      </c>
      <c r="C35" s="5">
        <f t="shared" si="4"/>
        <v>0.22353123202696276</v>
      </c>
      <c r="D35" s="5">
        <f t="shared" si="5"/>
        <v>0.73397215996023413</v>
      </c>
    </row>
    <row r="36" spans="1:5">
      <c r="A36" s="1">
        <v>33</v>
      </c>
      <c r="B36" s="5">
        <f t="shared" si="3"/>
        <v>3.8696880354375601E-2</v>
      </c>
      <c r="C36" s="5">
        <f t="shared" si="4"/>
        <v>0.20497783648269399</v>
      </c>
      <c r="D36" s="5">
        <f t="shared" si="5"/>
        <v>0.75632528316293035</v>
      </c>
    </row>
    <row r="37" spans="1:5">
      <c r="A37" s="1">
        <v>34</v>
      </c>
      <c r="B37" s="5">
        <f t="shared" si="3"/>
        <v>3.5524079228907768E-2</v>
      </c>
      <c r="C37" s="5">
        <f t="shared" si="4"/>
        <v>0.18765285395989242</v>
      </c>
      <c r="D37" s="5">
        <f t="shared" si="5"/>
        <v>0.77682306681119973</v>
      </c>
    </row>
    <row r="38" spans="1:5">
      <c r="A38" s="1">
        <v>35</v>
      </c>
      <c r="B38" s="5">
        <f t="shared" si="3"/>
        <v>3.2857601288267015E-2</v>
      </c>
      <c r="C38" s="5">
        <f t="shared" si="4"/>
        <v>0.17155404650454395</v>
      </c>
      <c r="D38" s="5">
        <f t="shared" si="5"/>
        <v>0.79558835220718893</v>
      </c>
    </row>
    <row r="39" spans="1:5">
      <c r="A39" s="1">
        <v>36</v>
      </c>
      <c r="B39" s="5">
        <f t="shared" si="3"/>
        <v>3.0602859504492964E-2</v>
      </c>
      <c r="C39" s="5">
        <f t="shared" si="4"/>
        <v>0.1566533836378636</v>
      </c>
      <c r="D39" s="5">
        <f t="shared" si="5"/>
        <v>0.81274375685764333</v>
      </c>
    </row>
    <row r="40" spans="1:5">
      <c r="A40" s="1">
        <v>37</v>
      </c>
      <c r="B40" s="5">
        <f t="shared" si="3"/>
        <v>2.8685242908343775E-2</v>
      </c>
      <c r="C40" s="5">
        <f t="shared" si="4"/>
        <v>0.14290566187022644</v>
      </c>
      <c r="D40" s="5">
        <f t="shared" si="5"/>
        <v>0.82840909522142969</v>
      </c>
    </row>
    <row r="41" spans="1:5">
      <c r="A41" s="1">
        <v>38</v>
      </c>
      <c r="B41" s="5">
        <f t="shared" si="3"/>
        <v>2.7045529458853738E-2</v>
      </c>
      <c r="C41" s="5">
        <f t="shared" si="4"/>
        <v>0.13025480913269383</v>
      </c>
      <c r="D41" s="5">
        <f t="shared" si="5"/>
        <v>0.84269966140845232</v>
      </c>
    </row>
    <row r="42" spans="1:5">
      <c r="A42" s="1">
        <v>39</v>
      </c>
      <c r="B42" s="5">
        <f t="shared" si="3"/>
        <v>2.563640534783148E-2</v>
      </c>
      <c r="C42" s="5">
        <f t="shared" si="4"/>
        <v>0.1186384523304467</v>
      </c>
      <c r="D42" s="5">
        <f t="shared" si="5"/>
        <v>0.8557251423217217</v>
      </c>
    </row>
    <row r="43" spans="1:5">
      <c r="A43" s="1">
        <v>40</v>
      </c>
      <c r="B43" s="5">
        <f t="shared" si="3"/>
        <v>2.4419819966318396E-2</v>
      </c>
      <c r="C43" s="5">
        <f t="shared" si="4"/>
        <v>0.10799119247891512</v>
      </c>
      <c r="D43" s="5">
        <f t="shared" si="5"/>
        <v>0.86758898755476632</v>
      </c>
    </row>
  </sheetData>
  <mergeCells count="1">
    <mergeCell ref="A1:D1"/>
  </mergeCells>
  <pageMargins left="0.25" right="0.25" top="0.75" bottom="0.75" header="0.3" footer="0.3"/>
  <pageSetup paperSize="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A944-9CB8-40E9-9C74-59C992948F07}">
  <sheetPr>
    <pageSetUpPr fitToPage="1"/>
  </sheetPr>
  <dimension ref="A1:F103"/>
  <sheetViews>
    <sheetView workbookViewId="0">
      <selection activeCell="B24" sqref="B24"/>
    </sheetView>
  </sheetViews>
  <sheetFormatPr defaultRowHeight="14.25"/>
  <cols>
    <col min="1" max="1" width="16.42578125" style="1" bestFit="1" customWidth="1"/>
    <col min="2" max="2" width="27.140625" style="1" bestFit="1" customWidth="1"/>
    <col min="3" max="3" width="26" style="1" bestFit="1" customWidth="1"/>
    <col min="4" max="16384" width="9.140625" style="1"/>
  </cols>
  <sheetData>
    <row r="1" spans="1:6" ht="15">
      <c r="A1" s="15" t="s">
        <v>12</v>
      </c>
      <c r="B1" s="15"/>
      <c r="C1" s="15"/>
    </row>
    <row r="2" spans="1:6" ht="15">
      <c r="A2" s="3" t="s">
        <v>13</v>
      </c>
      <c r="B2" s="3" t="s">
        <v>14</v>
      </c>
      <c r="C2" s="3" t="s">
        <v>15</v>
      </c>
      <c r="E2" s="1" t="s">
        <v>16</v>
      </c>
      <c r="F2" s="1">
        <v>0.1</v>
      </c>
    </row>
    <row r="3" spans="1:6">
      <c r="A3" s="2">
        <v>0</v>
      </c>
      <c r="B3" s="8">
        <v>40</v>
      </c>
      <c r="C3" s="8">
        <v>9</v>
      </c>
      <c r="E3" s="1" t="s">
        <v>17</v>
      </c>
      <c r="F3" s="1">
        <v>0.01</v>
      </c>
    </row>
    <row r="4" spans="1:6">
      <c r="A4" s="2">
        <v>1</v>
      </c>
      <c r="B4" s="8">
        <f>B3+($F$2*B3)-($F$3*B3*C3)</f>
        <v>40.4</v>
      </c>
      <c r="C4" s="8">
        <f>C3+($F$4*B3*C3)-($F$5*C3)</f>
        <v>8.4599999999999991</v>
      </c>
      <c r="E4" s="1" t="s">
        <v>18</v>
      </c>
      <c r="F4" s="1">
        <v>1E-3</v>
      </c>
    </row>
    <row r="5" spans="1:6">
      <c r="A5" s="2">
        <v>2</v>
      </c>
      <c r="B5" s="8">
        <f t="shared" ref="B5:B33" si="0">B4+($F$2*B4)-($F$3*B4*C4)</f>
        <v>41.02216</v>
      </c>
      <c r="C5" s="8">
        <f t="shared" ref="C5:C33" si="1">C4+($F$4*B4*C4)-($F$5*C4)</f>
        <v>7.9557839999999995</v>
      </c>
      <c r="E5" s="1" t="s">
        <v>19</v>
      </c>
      <c r="F5" s="1">
        <v>0.1</v>
      </c>
    </row>
    <row r="6" spans="1:6">
      <c r="A6" s="2">
        <v>3</v>
      </c>
      <c r="B6" s="8">
        <f t="shared" si="0"/>
        <v>41.860741558265602</v>
      </c>
      <c r="C6" s="8">
        <f t="shared" si="1"/>
        <v>7.4865690441734394</v>
      </c>
    </row>
    <row r="7" spans="1:6" ht="15">
      <c r="A7" s="2">
        <v>4</v>
      </c>
      <c r="B7" s="8">
        <f t="shared" si="0"/>
        <v>42.912882394929603</v>
      </c>
      <c r="C7" s="8">
        <f t="shared" si="1"/>
        <v>7.0513054716723511</v>
      </c>
      <c r="E7" s="4"/>
    </row>
    <row r="8" spans="1:6" ht="15">
      <c r="A8" s="2">
        <v>5</v>
      </c>
      <c r="B8" s="8">
        <f t="shared" si="0"/>
        <v>44.178252210056577</v>
      </c>
      <c r="C8" s="8">
        <f t="shared" si="1"/>
        <v>6.6487667669417156</v>
      </c>
      <c r="E8"/>
    </row>
    <row r="9" spans="1:6">
      <c r="A9" s="2">
        <v>6</v>
      </c>
      <c r="B9" s="8">
        <f t="shared" si="0"/>
        <v>45.658768479904296</v>
      </c>
      <c r="C9" s="8">
        <f t="shared" si="1"/>
        <v>6.2776209853633382</v>
      </c>
      <c r="E9" s="9"/>
    </row>
    <row r="10" spans="1:6">
      <c r="A10" s="2">
        <v>7</v>
      </c>
      <c r="B10" s="8">
        <f t="shared" si="0"/>
        <v>47.358360896141797</v>
      </c>
      <c r="C10" s="8">
        <f t="shared" si="1"/>
        <v>5.9364873300022971</v>
      </c>
    </row>
    <row r="11" spans="1:6">
      <c r="A11" s="2">
        <v>8</v>
      </c>
      <c r="B11" s="8">
        <f t="shared" si="0"/>
        <v>49.282773891459755</v>
      </c>
      <c r="C11" s="8">
        <f t="shared" si="1"/>
        <v>5.6239809064316901</v>
      </c>
    </row>
    <row r="12" spans="1:6" ht="15">
      <c r="A12" s="2">
        <v>9</v>
      </c>
      <c r="B12" s="8">
        <f t="shared" si="0"/>
        <v>51.439397486790128</v>
      </c>
      <c r="C12" s="8">
        <f t="shared" si="1"/>
        <v>5.3387481951700808</v>
      </c>
      <c r="E12" s="10"/>
    </row>
    <row r="13" spans="1:6">
      <c r="A13" s="2">
        <v>10</v>
      </c>
      <c r="B13" s="8">
        <f t="shared" si="0"/>
        <v>53.837117330536771</v>
      </c>
      <c r="C13" s="8">
        <f t="shared" si="1"/>
        <v>5.0794953661463103</v>
      </c>
    </row>
    <row r="14" spans="1:6">
      <c r="A14" s="2">
        <v>11</v>
      </c>
      <c r="B14" s="8">
        <f t="shared" si="0"/>
        <v>56.48617518351908</v>
      </c>
      <c r="C14" s="8">
        <f t="shared" si="1"/>
        <v>4.8450112175388158</v>
      </c>
    </row>
    <row r="15" spans="1:6">
      <c r="A15" s="2">
        <v>12</v>
      </c>
      <c r="B15" s="8">
        <f t="shared" si="0"/>
        <v>59.398031177870863</v>
      </c>
      <c r="C15" s="8">
        <f t="shared" si="1"/>
        <v>4.634186248184947</v>
      </c>
    </row>
    <row r="16" spans="1:6">
      <c r="A16" s="2">
        <v>13</v>
      </c>
      <c r="B16" s="8">
        <f t="shared" si="0"/>
        <v>62.585218903120456</v>
      </c>
      <c r="C16" s="8">
        <f t="shared" si="1"/>
        <v>4.446029162620202</v>
      </c>
    </row>
    <row r="17" spans="1:3">
      <c r="A17" s="2">
        <v>14</v>
      </c>
      <c r="B17" s="8">
        <f t="shared" si="0"/>
        <v>66.061183709510075</v>
      </c>
      <c r="C17" s="8">
        <f t="shared" si="1"/>
        <v>4.2796819547504246</v>
      </c>
    </row>
    <row r="18" spans="1:3">
      <c r="A18" s="2">
        <v>15</v>
      </c>
      <c r="B18" s="8">
        <f t="shared" si="0"/>
        <v>69.840093522150653</v>
      </c>
      <c r="C18" s="8">
        <f t="shared" si="1"/>
        <v>4.1344346151064251</v>
      </c>
    </row>
    <row r="19" spans="1:3">
      <c r="A19" s="2">
        <v>16</v>
      </c>
      <c r="B19" s="8">
        <f t="shared" si="0"/>
        <v>73.936609872563224</v>
      </c>
      <c r="C19" s="8">
        <f t="shared" si="1"/>
        <v>4.0097404537760326</v>
      </c>
    </row>
    <row r="20" spans="1:3">
      <c r="A20" s="2">
        <v>17</v>
      </c>
      <c r="B20" s="8">
        <f t="shared" si="0"/>
        <v>78.365604703608824</v>
      </c>
      <c r="C20" s="8">
        <f t="shared" si="1"/>
        <v>3.9052330240195023</v>
      </c>
    </row>
    <row r="21" spans="1:3">
      <c r="A21" s="2">
        <v>18</v>
      </c>
      <c r="B21" s="8">
        <f>B20+($F$2*B20)-($F$3*B20*C20)</f>
        <v>83.141805699611794</v>
      </c>
      <c r="C21" s="8">
        <f t="shared" si="1"/>
        <v>3.8207456690533435</v>
      </c>
    </row>
    <row r="22" spans="1:3">
      <c r="A22" s="2">
        <v>19</v>
      </c>
      <c r="B22" s="8">
        <f t="shared" si="0"/>
        <v>88.279349329132316</v>
      </c>
      <c r="C22" s="8">
        <f t="shared" si="1"/>
        <v>3.7563347961920757</v>
      </c>
    </row>
    <row r="23" spans="1:3">
      <c r="A23" s="2">
        <v>20</v>
      </c>
      <c r="B23" s="8">
        <f t="shared" si="0"/>
        <v>93.7912163453434</v>
      </c>
      <c r="C23" s="8">
        <f>C22+($F$4*B22*C22)-($F$5*C22)</f>
        <v>3.7123081082430835</v>
      </c>
    </row>
    <row r="24" spans="1:3">
      <c r="A24" s="2">
        <v>21</v>
      </c>
      <c r="B24" s="8">
        <f t="shared" si="0"/>
        <v>99.688519050669754</v>
      </c>
      <c r="C24" s="8">
        <f t="shared" si="1"/>
        <v>3.6892591903395746</v>
      </c>
    </row>
    <row r="25" spans="1:3">
      <c r="A25" s="2">
        <v>22</v>
      </c>
      <c r="B25" s="8">
        <f t="shared" si="0"/>
        <v>105.97960310494648</v>
      </c>
      <c r="C25" s="8">
        <f t="shared" si="1"/>
        <v>3.6881100563846427</v>
      </c>
    </row>
    <row r="26" spans="1:3">
      <c r="A26" s="2">
        <v>23</v>
      </c>
      <c r="B26" s="8">
        <f t="shared" si="0"/>
        <v>112.66891901561105</v>
      </c>
      <c r="C26" s="8">
        <f t="shared" si="1"/>
        <v>3.7101634907291845</v>
      </c>
    </row>
    <row r="27" spans="1:3">
      <c r="A27" s="2">
        <v>24</v>
      </c>
      <c r="B27" s="8">
        <f t="shared" si="0"/>
        <v>119.75560981845572</v>
      </c>
      <c r="C27" s="8">
        <f t="shared" si="1"/>
        <v>3.7571672515279091</v>
      </c>
    </row>
    <row r="28" spans="1:3">
      <c r="A28" s="2">
        <v>25</v>
      </c>
      <c r="B28" s="8">
        <f t="shared" si="0"/>
        <v>127.23175224633474</v>
      </c>
      <c r="C28" s="8">
        <f t="shared" si="1"/>
        <v>3.8313923817717743</v>
      </c>
    </row>
    <row r="29" spans="1:3">
      <c r="A29" s="2">
        <v>26</v>
      </c>
      <c r="B29" s="8">
        <f t="shared" si="0"/>
        <v>135.08017980820742</v>
      </c>
      <c r="C29" s="8">
        <f t="shared" si="1"/>
        <v>3.9357279098706774</v>
      </c>
    </row>
    <row r="30" spans="1:3">
      <c r="A30" s="2">
        <v>27</v>
      </c>
      <c r="B30" s="8">
        <f t="shared" si="0"/>
        <v>143.27180945161305</v>
      </c>
      <c r="C30" s="8">
        <f t="shared" si="1"/>
        <v>4.0737939526251212</v>
      </c>
    </row>
    <row r="31" spans="1:3">
      <c r="A31" s="2">
        <v>28</v>
      </c>
      <c r="B31" s="8">
        <f t="shared" si="0"/>
        <v>151.76239208751795</v>
      </c>
      <c r="C31" s="8">
        <f t="shared" si="1"/>
        <v>4.2500743882882492</v>
      </c>
    </row>
    <row r="32" spans="1:3">
      <c r="A32" s="2">
        <v>29</v>
      </c>
      <c r="B32" s="8">
        <f t="shared" si="0"/>
        <v>160.48861673910457</v>
      </c>
      <c r="C32" s="8">
        <f t="shared" si="1"/>
        <v>4.4700684051759438</v>
      </c>
    </row>
    <row r="33" spans="1:3">
      <c r="A33" s="2">
        <v>30</v>
      </c>
      <c r="B33" s="8">
        <f t="shared" si="0"/>
        <v>169.3635274622564</v>
      </c>
      <c r="C33" s="8">
        <f t="shared" si="1"/>
        <v>4.7404566597342122</v>
      </c>
    </row>
    <row r="39" spans="1:3" ht="15">
      <c r="A39" s="3" t="s">
        <v>13</v>
      </c>
      <c r="B39" s="3" t="s">
        <v>14</v>
      </c>
      <c r="C39" s="3" t="s">
        <v>15</v>
      </c>
    </row>
    <row r="40" spans="1:3">
      <c r="A40" s="2">
        <v>0</v>
      </c>
      <c r="B40" s="8">
        <v>0</v>
      </c>
      <c r="C40" s="8">
        <v>0</v>
      </c>
    </row>
    <row r="41" spans="1:3">
      <c r="A41" s="2">
        <v>1</v>
      </c>
      <c r="B41" s="8">
        <f>B40+($F$2*B40)-($F$3*B40*C40)</f>
        <v>0</v>
      </c>
      <c r="C41" s="8">
        <f>C40+($F$4*B40*C40)-($F$5*C40)</f>
        <v>0</v>
      </c>
    </row>
    <row r="42" spans="1:3">
      <c r="A42" s="2">
        <v>2</v>
      </c>
      <c r="B42" s="8">
        <f t="shared" ref="B42:B70" si="2">B41+($F$2*B41)-($F$3*B41*C41)</f>
        <v>0</v>
      </c>
      <c r="C42" s="8">
        <f t="shared" ref="C42:C70" si="3">C41+($F$4*B41*C41)-($F$5*C41)</f>
        <v>0</v>
      </c>
    </row>
    <row r="43" spans="1:3">
      <c r="A43" s="2">
        <v>3</v>
      </c>
      <c r="B43" s="8">
        <f t="shared" si="2"/>
        <v>0</v>
      </c>
      <c r="C43" s="8">
        <f t="shared" si="3"/>
        <v>0</v>
      </c>
    </row>
    <row r="44" spans="1:3">
      <c r="A44" s="2">
        <v>4</v>
      </c>
      <c r="B44" s="8">
        <f t="shared" si="2"/>
        <v>0</v>
      </c>
      <c r="C44" s="8">
        <f t="shared" si="3"/>
        <v>0</v>
      </c>
    </row>
    <row r="45" spans="1:3">
      <c r="A45" s="2">
        <v>5</v>
      </c>
      <c r="B45" s="8">
        <f t="shared" si="2"/>
        <v>0</v>
      </c>
      <c r="C45" s="8">
        <f t="shared" si="3"/>
        <v>0</v>
      </c>
    </row>
    <row r="46" spans="1:3">
      <c r="A46" s="2">
        <v>6</v>
      </c>
      <c r="B46" s="8">
        <f t="shared" si="2"/>
        <v>0</v>
      </c>
      <c r="C46" s="8">
        <f t="shared" si="3"/>
        <v>0</v>
      </c>
    </row>
    <row r="47" spans="1:3">
      <c r="A47" s="2">
        <v>7</v>
      </c>
      <c r="B47" s="8">
        <f t="shared" si="2"/>
        <v>0</v>
      </c>
      <c r="C47" s="8">
        <f t="shared" si="3"/>
        <v>0</v>
      </c>
    </row>
    <row r="48" spans="1:3">
      <c r="A48" s="2">
        <v>8</v>
      </c>
      <c r="B48" s="8">
        <f t="shared" si="2"/>
        <v>0</v>
      </c>
      <c r="C48" s="8">
        <f t="shared" si="3"/>
        <v>0</v>
      </c>
    </row>
    <row r="49" spans="1:3">
      <c r="A49" s="2">
        <v>9</v>
      </c>
      <c r="B49" s="8">
        <f t="shared" si="2"/>
        <v>0</v>
      </c>
      <c r="C49" s="8">
        <f t="shared" si="3"/>
        <v>0</v>
      </c>
    </row>
    <row r="50" spans="1:3">
      <c r="A50" s="2">
        <v>10</v>
      </c>
      <c r="B50" s="8">
        <f t="shared" si="2"/>
        <v>0</v>
      </c>
      <c r="C50" s="8">
        <f t="shared" si="3"/>
        <v>0</v>
      </c>
    </row>
    <row r="51" spans="1:3">
      <c r="A51" s="2">
        <v>11</v>
      </c>
      <c r="B51" s="8">
        <f t="shared" si="2"/>
        <v>0</v>
      </c>
      <c r="C51" s="8">
        <f t="shared" si="3"/>
        <v>0</v>
      </c>
    </row>
    <row r="52" spans="1:3">
      <c r="A52" s="2">
        <v>12</v>
      </c>
      <c r="B52" s="8">
        <f t="shared" si="2"/>
        <v>0</v>
      </c>
      <c r="C52" s="8">
        <f t="shared" si="3"/>
        <v>0</v>
      </c>
    </row>
    <row r="53" spans="1:3">
      <c r="A53" s="2">
        <v>13</v>
      </c>
      <c r="B53" s="8">
        <f t="shared" si="2"/>
        <v>0</v>
      </c>
      <c r="C53" s="8">
        <f t="shared" si="3"/>
        <v>0</v>
      </c>
    </row>
    <row r="54" spans="1:3">
      <c r="A54" s="2">
        <v>14</v>
      </c>
      <c r="B54" s="8">
        <f t="shared" si="2"/>
        <v>0</v>
      </c>
      <c r="C54" s="8">
        <f t="shared" si="3"/>
        <v>0</v>
      </c>
    </row>
    <row r="55" spans="1:3">
      <c r="A55" s="2">
        <v>15</v>
      </c>
      <c r="B55" s="8">
        <f t="shared" si="2"/>
        <v>0</v>
      </c>
      <c r="C55" s="8">
        <f t="shared" si="3"/>
        <v>0</v>
      </c>
    </row>
    <row r="56" spans="1:3">
      <c r="A56" s="2">
        <v>16</v>
      </c>
      <c r="B56" s="8">
        <f t="shared" si="2"/>
        <v>0</v>
      </c>
      <c r="C56" s="8">
        <f t="shared" si="3"/>
        <v>0</v>
      </c>
    </row>
    <row r="57" spans="1:3">
      <c r="A57" s="2">
        <v>17</v>
      </c>
      <c r="B57" s="8">
        <f t="shared" si="2"/>
        <v>0</v>
      </c>
      <c r="C57" s="8">
        <f t="shared" si="3"/>
        <v>0</v>
      </c>
    </row>
    <row r="58" spans="1:3">
      <c r="A58" s="2">
        <v>18</v>
      </c>
      <c r="B58" s="8">
        <f>B57+($F$2*B57)-($F$3*B57*C57)</f>
        <v>0</v>
      </c>
      <c r="C58" s="8">
        <f t="shared" si="3"/>
        <v>0</v>
      </c>
    </row>
    <row r="59" spans="1:3">
      <c r="A59" s="2">
        <v>19</v>
      </c>
      <c r="B59" s="8">
        <f t="shared" ref="B59:B70" si="4">B58+($F$2*B58)-($F$3*B58*C58)</f>
        <v>0</v>
      </c>
      <c r="C59" s="8">
        <f t="shared" si="3"/>
        <v>0</v>
      </c>
    </row>
    <row r="60" spans="1:3">
      <c r="A60" s="2">
        <v>20</v>
      </c>
      <c r="B60" s="8">
        <f t="shared" si="4"/>
        <v>0</v>
      </c>
      <c r="C60" s="8">
        <f>C59+($F$4*B59*C59)-($F$5*C59)</f>
        <v>0</v>
      </c>
    </row>
    <row r="61" spans="1:3">
      <c r="A61" s="2">
        <v>21</v>
      </c>
      <c r="B61" s="8">
        <f t="shared" si="4"/>
        <v>0</v>
      </c>
      <c r="C61" s="8">
        <f t="shared" ref="C61:C70" si="5">C60+($F$4*B60*C60)-($F$5*C60)</f>
        <v>0</v>
      </c>
    </row>
    <row r="62" spans="1:3">
      <c r="A62" s="2">
        <v>22</v>
      </c>
      <c r="B62" s="8">
        <f t="shared" si="4"/>
        <v>0</v>
      </c>
      <c r="C62" s="8">
        <f t="shared" si="5"/>
        <v>0</v>
      </c>
    </row>
    <row r="63" spans="1:3">
      <c r="A63" s="2">
        <v>23</v>
      </c>
      <c r="B63" s="8">
        <f t="shared" si="4"/>
        <v>0</v>
      </c>
      <c r="C63" s="8">
        <f t="shared" si="5"/>
        <v>0</v>
      </c>
    </row>
    <row r="64" spans="1:3">
      <c r="A64" s="2">
        <v>24</v>
      </c>
      <c r="B64" s="8">
        <f t="shared" si="4"/>
        <v>0</v>
      </c>
      <c r="C64" s="8">
        <f t="shared" si="5"/>
        <v>0</v>
      </c>
    </row>
    <row r="65" spans="1:3">
      <c r="A65" s="2">
        <v>25</v>
      </c>
      <c r="B65" s="8">
        <f t="shared" si="4"/>
        <v>0</v>
      </c>
      <c r="C65" s="8">
        <f t="shared" si="5"/>
        <v>0</v>
      </c>
    </row>
    <row r="66" spans="1:3">
      <c r="A66" s="2">
        <v>26</v>
      </c>
      <c r="B66" s="8">
        <f t="shared" si="4"/>
        <v>0</v>
      </c>
      <c r="C66" s="8">
        <f t="shared" si="5"/>
        <v>0</v>
      </c>
    </row>
    <row r="67" spans="1:3">
      <c r="A67" s="2">
        <v>27</v>
      </c>
      <c r="B67" s="8">
        <f t="shared" si="4"/>
        <v>0</v>
      </c>
      <c r="C67" s="8">
        <f t="shared" si="5"/>
        <v>0</v>
      </c>
    </row>
    <row r="68" spans="1:3">
      <c r="A68" s="2">
        <v>28</v>
      </c>
      <c r="B68" s="8">
        <f t="shared" si="4"/>
        <v>0</v>
      </c>
      <c r="C68" s="8">
        <f t="shared" si="5"/>
        <v>0</v>
      </c>
    </row>
    <row r="69" spans="1:3">
      <c r="A69" s="2">
        <v>29</v>
      </c>
      <c r="B69" s="8">
        <f t="shared" si="4"/>
        <v>0</v>
      </c>
      <c r="C69" s="8">
        <f t="shared" si="5"/>
        <v>0</v>
      </c>
    </row>
    <row r="70" spans="1:3">
      <c r="A70" s="2">
        <v>30</v>
      </c>
      <c r="B70" s="8">
        <f t="shared" si="4"/>
        <v>0</v>
      </c>
      <c r="C70" s="8">
        <f t="shared" si="5"/>
        <v>0</v>
      </c>
    </row>
    <row r="72" spans="1:3" ht="15">
      <c r="A72" s="3" t="s">
        <v>13</v>
      </c>
      <c r="B72" s="3" t="s">
        <v>14</v>
      </c>
      <c r="C72" s="3" t="s">
        <v>15</v>
      </c>
    </row>
    <row r="73" spans="1:3">
      <c r="A73" s="2">
        <v>0</v>
      </c>
      <c r="B73" s="8">
        <v>100</v>
      </c>
      <c r="C73" s="8">
        <v>10</v>
      </c>
    </row>
    <row r="74" spans="1:3">
      <c r="A74" s="2">
        <v>1</v>
      </c>
      <c r="B74" s="8">
        <f>B73+($F$2*B73)-($F$3*B73*C73)</f>
        <v>100</v>
      </c>
      <c r="C74" s="8">
        <f>C73+($F$4*B73*C73)-($F$5*C73)</f>
        <v>10</v>
      </c>
    </row>
    <row r="75" spans="1:3">
      <c r="A75" s="2">
        <v>2</v>
      </c>
      <c r="B75" s="8">
        <f t="shared" ref="B75:B103" si="6">B74+($F$2*B74)-($F$3*B74*C74)</f>
        <v>100</v>
      </c>
      <c r="C75" s="8">
        <f t="shared" ref="C75:C103" si="7">C74+($F$4*B74*C74)-($F$5*C74)</f>
        <v>10</v>
      </c>
    </row>
    <row r="76" spans="1:3">
      <c r="A76" s="2">
        <v>3</v>
      </c>
      <c r="B76" s="8">
        <f t="shared" si="6"/>
        <v>100</v>
      </c>
      <c r="C76" s="8">
        <f t="shared" si="7"/>
        <v>10</v>
      </c>
    </row>
    <row r="77" spans="1:3">
      <c r="A77" s="2">
        <v>4</v>
      </c>
      <c r="B77" s="8">
        <f t="shared" si="6"/>
        <v>100</v>
      </c>
      <c r="C77" s="8">
        <f t="shared" si="7"/>
        <v>10</v>
      </c>
    </row>
    <row r="78" spans="1:3">
      <c r="A78" s="2">
        <v>5</v>
      </c>
      <c r="B78" s="8">
        <f t="shared" si="6"/>
        <v>100</v>
      </c>
      <c r="C78" s="8">
        <f t="shared" si="7"/>
        <v>10</v>
      </c>
    </row>
    <row r="79" spans="1:3">
      <c r="A79" s="2">
        <v>6</v>
      </c>
      <c r="B79" s="8">
        <f t="shared" si="6"/>
        <v>100</v>
      </c>
      <c r="C79" s="8">
        <f t="shared" si="7"/>
        <v>10</v>
      </c>
    </row>
    <row r="80" spans="1:3">
      <c r="A80" s="2">
        <v>7</v>
      </c>
      <c r="B80" s="8">
        <f t="shared" si="6"/>
        <v>100</v>
      </c>
      <c r="C80" s="8">
        <f t="shared" si="7"/>
        <v>10</v>
      </c>
    </row>
    <row r="81" spans="1:3">
      <c r="A81" s="2">
        <v>8</v>
      </c>
      <c r="B81" s="8">
        <f t="shared" si="6"/>
        <v>100</v>
      </c>
      <c r="C81" s="8">
        <f t="shared" si="7"/>
        <v>10</v>
      </c>
    </row>
    <row r="82" spans="1:3">
      <c r="A82" s="2">
        <v>9</v>
      </c>
      <c r="B82" s="8">
        <f t="shared" si="6"/>
        <v>100</v>
      </c>
      <c r="C82" s="8">
        <f t="shared" si="7"/>
        <v>10</v>
      </c>
    </row>
    <row r="83" spans="1:3">
      <c r="A83" s="2">
        <v>10</v>
      </c>
      <c r="B83" s="8">
        <f t="shared" si="6"/>
        <v>100</v>
      </c>
      <c r="C83" s="8">
        <f t="shared" si="7"/>
        <v>10</v>
      </c>
    </row>
    <row r="84" spans="1:3">
      <c r="A84" s="2">
        <v>11</v>
      </c>
      <c r="B84" s="8">
        <f t="shared" si="6"/>
        <v>100</v>
      </c>
      <c r="C84" s="8">
        <f t="shared" si="7"/>
        <v>10</v>
      </c>
    </row>
    <row r="85" spans="1:3">
      <c r="A85" s="2">
        <v>12</v>
      </c>
      <c r="B85" s="8">
        <f t="shared" si="6"/>
        <v>100</v>
      </c>
      <c r="C85" s="8">
        <f t="shared" si="7"/>
        <v>10</v>
      </c>
    </row>
    <row r="86" spans="1:3">
      <c r="A86" s="2">
        <v>13</v>
      </c>
      <c r="B86" s="8">
        <f t="shared" si="6"/>
        <v>100</v>
      </c>
      <c r="C86" s="8">
        <f t="shared" si="7"/>
        <v>10</v>
      </c>
    </row>
    <row r="87" spans="1:3">
      <c r="A87" s="2">
        <v>14</v>
      </c>
      <c r="B87" s="8">
        <f t="shared" si="6"/>
        <v>100</v>
      </c>
      <c r="C87" s="8">
        <f t="shared" si="7"/>
        <v>10</v>
      </c>
    </row>
    <row r="88" spans="1:3">
      <c r="A88" s="2">
        <v>15</v>
      </c>
      <c r="B88" s="8">
        <f t="shared" si="6"/>
        <v>100</v>
      </c>
      <c r="C88" s="8">
        <f t="shared" si="7"/>
        <v>10</v>
      </c>
    </row>
    <row r="89" spans="1:3">
      <c r="A89" s="2">
        <v>16</v>
      </c>
      <c r="B89" s="8">
        <f t="shared" si="6"/>
        <v>100</v>
      </c>
      <c r="C89" s="8">
        <f t="shared" si="7"/>
        <v>10</v>
      </c>
    </row>
    <row r="90" spans="1:3">
      <c r="A90" s="2">
        <v>17</v>
      </c>
      <c r="B90" s="8">
        <f t="shared" si="6"/>
        <v>100</v>
      </c>
      <c r="C90" s="8">
        <f t="shared" si="7"/>
        <v>10</v>
      </c>
    </row>
    <row r="91" spans="1:3">
      <c r="A91" s="2">
        <v>18</v>
      </c>
      <c r="B91" s="8">
        <f>B90+($F$2*B90)-($F$3*B90*C90)</f>
        <v>100</v>
      </c>
      <c r="C91" s="8">
        <f t="shared" si="7"/>
        <v>10</v>
      </c>
    </row>
    <row r="92" spans="1:3">
      <c r="A92" s="2">
        <v>19</v>
      </c>
      <c r="B92" s="8">
        <f t="shared" ref="B92:B103" si="8">B91+($F$2*B91)-($F$3*B91*C91)</f>
        <v>100</v>
      </c>
      <c r="C92" s="8">
        <f t="shared" si="7"/>
        <v>10</v>
      </c>
    </row>
    <row r="93" spans="1:3">
      <c r="A93" s="2">
        <v>20</v>
      </c>
      <c r="B93" s="8">
        <f t="shared" si="8"/>
        <v>100</v>
      </c>
      <c r="C93" s="8">
        <f>C92+($F$4*B92*C92)-($F$5*C92)</f>
        <v>10</v>
      </c>
    </row>
    <row r="94" spans="1:3">
      <c r="A94" s="2">
        <v>21</v>
      </c>
      <c r="B94" s="8">
        <f t="shared" si="8"/>
        <v>100</v>
      </c>
      <c r="C94" s="8">
        <f t="shared" ref="C94:C103" si="9">C93+($F$4*B93*C93)-($F$5*C93)</f>
        <v>10</v>
      </c>
    </row>
    <row r="95" spans="1:3">
      <c r="A95" s="2">
        <v>22</v>
      </c>
      <c r="B95" s="8">
        <f t="shared" si="8"/>
        <v>100</v>
      </c>
      <c r="C95" s="8">
        <f t="shared" si="9"/>
        <v>10</v>
      </c>
    </row>
    <row r="96" spans="1:3">
      <c r="A96" s="2">
        <v>23</v>
      </c>
      <c r="B96" s="8">
        <f t="shared" si="8"/>
        <v>100</v>
      </c>
      <c r="C96" s="8">
        <f t="shared" si="9"/>
        <v>10</v>
      </c>
    </row>
    <row r="97" spans="1:3">
      <c r="A97" s="2">
        <v>24</v>
      </c>
      <c r="B97" s="8">
        <f t="shared" si="8"/>
        <v>100</v>
      </c>
      <c r="C97" s="8">
        <f t="shared" si="9"/>
        <v>10</v>
      </c>
    </row>
    <row r="98" spans="1:3">
      <c r="A98" s="2">
        <v>25</v>
      </c>
      <c r="B98" s="8">
        <f t="shared" si="8"/>
        <v>100</v>
      </c>
      <c r="C98" s="8">
        <f t="shared" si="9"/>
        <v>10</v>
      </c>
    </row>
    <row r="99" spans="1:3">
      <c r="A99" s="2">
        <v>26</v>
      </c>
      <c r="B99" s="8">
        <f t="shared" si="8"/>
        <v>100</v>
      </c>
      <c r="C99" s="8">
        <f t="shared" si="9"/>
        <v>10</v>
      </c>
    </row>
    <row r="100" spans="1:3">
      <c r="A100" s="2">
        <v>27</v>
      </c>
      <c r="B100" s="8">
        <f t="shared" si="8"/>
        <v>100</v>
      </c>
      <c r="C100" s="8">
        <f t="shared" si="9"/>
        <v>10</v>
      </c>
    </row>
    <row r="101" spans="1:3">
      <c r="A101" s="2">
        <v>28</v>
      </c>
      <c r="B101" s="8">
        <f t="shared" si="8"/>
        <v>100</v>
      </c>
      <c r="C101" s="8">
        <f t="shared" si="9"/>
        <v>10</v>
      </c>
    </row>
    <row r="102" spans="1:3">
      <c r="A102" s="2">
        <v>29</v>
      </c>
      <c r="B102" s="8">
        <f t="shared" si="8"/>
        <v>100</v>
      </c>
      <c r="C102" s="8">
        <f t="shared" si="9"/>
        <v>10</v>
      </c>
    </row>
    <row r="103" spans="1:3">
      <c r="A103" s="2">
        <v>30</v>
      </c>
      <c r="B103" s="8">
        <f t="shared" si="8"/>
        <v>100</v>
      </c>
      <c r="C103" s="8">
        <f t="shared" si="9"/>
        <v>10</v>
      </c>
    </row>
  </sheetData>
  <mergeCells count="1">
    <mergeCell ref="A1:C1"/>
  </mergeCells>
  <pageMargins left="0.25" right="0.25" top="0.75" bottom="0.75" header="0.3" footer="0.3"/>
  <pageSetup paperSize="5"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1294C-051F-4689-B860-4F9B08D1ADED}">
  <sheetPr>
    <pageSetUpPr fitToPage="1"/>
  </sheetPr>
  <dimension ref="A1:E72"/>
  <sheetViews>
    <sheetView topLeftCell="P18" workbookViewId="0">
      <selection activeCell="P18" sqref="P18"/>
    </sheetView>
  </sheetViews>
  <sheetFormatPr defaultRowHeight="14.25"/>
  <cols>
    <col min="1" max="1" width="15.42578125" style="1" bestFit="1" customWidth="1"/>
    <col min="2" max="2" width="26.7109375" style="1" bestFit="1" customWidth="1"/>
    <col min="3" max="16384" width="9.140625" style="1"/>
  </cols>
  <sheetData>
    <row r="1" spans="1:5" ht="15">
      <c r="A1" s="15" t="s">
        <v>20</v>
      </c>
      <c r="B1" s="15"/>
    </row>
    <row r="2" spans="1:5" ht="15">
      <c r="A2" s="3" t="s">
        <v>13</v>
      </c>
      <c r="B2" s="3" t="s">
        <v>21</v>
      </c>
      <c r="D2" s="1" t="s">
        <v>22</v>
      </c>
      <c r="E2" s="1">
        <v>2000</v>
      </c>
    </row>
    <row r="3" spans="1:5">
      <c r="A3" s="2">
        <v>0</v>
      </c>
      <c r="B3" s="13">
        <v>500</v>
      </c>
      <c r="D3" s="1" t="s">
        <v>16</v>
      </c>
      <c r="E3" s="1">
        <v>0.1</v>
      </c>
    </row>
    <row r="4" spans="1:5">
      <c r="A4" s="2">
        <v>1</v>
      </c>
      <c r="B4" s="13">
        <f>IF(B3+(($E$3*B3)*(1-(B3/$E$2)))-$E$4&lt;0,0,B3+(($E$3*B3)*(1-(B3/$E$2)))-$E$4)</f>
        <v>487.5</v>
      </c>
      <c r="D4" s="1" t="s">
        <v>23</v>
      </c>
      <c r="E4" s="1">
        <v>50</v>
      </c>
    </row>
    <row r="5" spans="1:5">
      <c r="A5" s="2">
        <v>2</v>
      </c>
      <c r="B5" s="13">
        <f t="shared" ref="B5:B33" si="0">IF(B4+(($E$3*B4)*(1-(B4/$E$2)))-$E$4&lt;0,0,B4+(($E$3*B4)*(1-(B4/$E$2)))-$E$4)</f>
        <v>474.3671875</v>
      </c>
    </row>
    <row r="6" spans="1:5">
      <c r="A6" s="2">
        <v>3</v>
      </c>
      <c r="B6" s="13">
        <f t="shared" si="0"/>
        <v>460.55269482116699</v>
      </c>
    </row>
    <row r="7" spans="1:5">
      <c r="A7" s="2">
        <v>4</v>
      </c>
      <c r="B7" s="13">
        <f t="shared" si="0"/>
        <v>446.00252506793174</v>
      </c>
    </row>
    <row r="8" spans="1:5">
      <c r="A8" s="2">
        <v>5</v>
      </c>
      <c r="B8" s="13">
        <f t="shared" si="0"/>
        <v>430.65686495637635</v>
      </c>
    </row>
    <row r="9" spans="1:5">
      <c r="A9" s="2">
        <v>6</v>
      </c>
      <c r="B9" s="13">
        <f t="shared" si="0"/>
        <v>414.44928468531128</v>
      </c>
    </row>
    <row r="10" spans="1:5">
      <c r="A10" s="2">
        <v>7</v>
      </c>
      <c r="B10" s="13">
        <f t="shared" si="0"/>
        <v>397.3058026750341</v>
      </c>
    </row>
    <row r="11" spans="1:5">
      <c r="A11" s="2">
        <v>8</v>
      </c>
      <c r="B11" s="13">
        <f t="shared" si="0"/>
        <v>379.14378790057486</v>
      </c>
    </row>
    <row r="12" spans="1:5">
      <c r="A12" s="2">
        <v>9</v>
      </c>
      <c r="B12" s="13">
        <f t="shared" si="0"/>
        <v>359.87066609545252</v>
      </c>
      <c r="D12" s="1" t="s">
        <v>24</v>
      </c>
    </row>
    <row r="13" spans="1:5">
      <c r="A13" s="2">
        <v>10</v>
      </c>
      <c r="B13" s="13">
        <f t="shared" si="0"/>
        <v>339.38238788919853</v>
      </c>
    </row>
    <row r="14" spans="1:5">
      <c r="A14" s="2">
        <v>11</v>
      </c>
      <c r="B14" s="13">
        <f t="shared" si="0"/>
        <v>317.56160641764967</v>
      </c>
    </row>
    <row r="15" spans="1:5">
      <c r="A15" s="2">
        <v>12</v>
      </c>
      <c r="B15" s="13">
        <f t="shared" si="0"/>
        <v>294.27549836588673</v>
      </c>
    </row>
    <row r="16" spans="1:5">
      <c r="A16" s="2">
        <v>13</v>
      </c>
      <c r="B16" s="13">
        <f t="shared" si="0"/>
        <v>269.37314475555087</v>
      </c>
    </row>
    <row r="17" spans="1:3">
      <c r="A17" s="2">
        <v>14</v>
      </c>
      <c r="B17" s="13">
        <f t="shared" si="0"/>
        <v>242.6823646753312</v>
      </c>
    </row>
    <row r="18" spans="1:3">
      <c r="A18" s="2">
        <v>15</v>
      </c>
      <c r="B18" s="13">
        <f t="shared" si="0"/>
        <v>214.00586463664382</v>
      </c>
    </row>
    <row r="19" spans="1:3">
      <c r="A19" s="2">
        <v>16</v>
      </c>
      <c r="B19" s="13">
        <f t="shared" si="0"/>
        <v>183.11652559536432</v>
      </c>
    </row>
    <row r="20" spans="1:3">
      <c r="A20" s="2">
        <v>17</v>
      </c>
      <c r="B20" s="13">
        <f t="shared" si="0"/>
        <v>149.75159505759487</v>
      </c>
    </row>
    <row r="21" spans="1:3">
      <c r="A21" s="2">
        <v>18</v>
      </c>
      <c r="B21" s="13">
        <f t="shared" si="0"/>
        <v>113.60547755223968</v>
      </c>
    </row>
    <row r="22" spans="1:3">
      <c r="A22" s="2">
        <v>19</v>
      </c>
      <c r="B22" s="13">
        <f t="shared" si="0"/>
        <v>74.320715080970018</v>
      </c>
    </row>
    <row r="23" spans="1:3">
      <c r="A23" s="2">
        <v>20</v>
      </c>
      <c r="B23" s="13">
        <f t="shared" si="0"/>
        <v>31.476608154559685</v>
      </c>
    </row>
    <row r="24" spans="1:3">
      <c r="A24" s="2">
        <v>21</v>
      </c>
      <c r="B24" s="13">
        <f t="shared" si="0"/>
        <v>0</v>
      </c>
      <c r="C24" s="14"/>
    </row>
    <row r="25" spans="1:3">
      <c r="A25" s="2">
        <v>22</v>
      </c>
      <c r="B25" s="13">
        <f t="shared" si="0"/>
        <v>0</v>
      </c>
      <c r="C25" s="14"/>
    </row>
    <row r="26" spans="1:3">
      <c r="A26" s="2">
        <v>23</v>
      </c>
      <c r="B26" s="13">
        <f t="shared" si="0"/>
        <v>0</v>
      </c>
    </row>
    <row r="27" spans="1:3">
      <c r="A27" s="2">
        <v>24</v>
      </c>
      <c r="B27" s="13">
        <f t="shared" si="0"/>
        <v>0</v>
      </c>
    </row>
    <row r="28" spans="1:3">
      <c r="A28" s="2">
        <v>25</v>
      </c>
      <c r="B28" s="13">
        <f t="shared" si="0"/>
        <v>0</v>
      </c>
    </row>
    <row r="29" spans="1:3">
      <c r="A29" s="2">
        <v>26</v>
      </c>
      <c r="B29" s="13">
        <f t="shared" si="0"/>
        <v>0</v>
      </c>
    </row>
    <row r="30" spans="1:3">
      <c r="A30" s="2">
        <v>27</v>
      </c>
      <c r="B30" s="13">
        <f t="shared" si="0"/>
        <v>0</v>
      </c>
    </row>
    <row r="31" spans="1:3">
      <c r="A31" s="2">
        <v>28</v>
      </c>
      <c r="B31" s="13">
        <f t="shared" si="0"/>
        <v>0</v>
      </c>
    </row>
    <row r="32" spans="1:3">
      <c r="A32" s="2">
        <v>29</v>
      </c>
      <c r="B32" s="13">
        <f t="shared" si="0"/>
        <v>0</v>
      </c>
    </row>
    <row r="33" spans="1:5">
      <c r="A33" s="2">
        <v>30</v>
      </c>
      <c r="B33" s="13">
        <f t="shared" si="0"/>
        <v>0</v>
      </c>
    </row>
    <row r="34" spans="1:5">
      <c r="A34" s="2"/>
      <c r="B34" s="13"/>
    </row>
    <row r="35" spans="1:5">
      <c r="A35" s="2"/>
      <c r="B35" s="13"/>
    </row>
    <row r="36" spans="1:5">
      <c r="A36" s="2"/>
      <c r="B36" s="13"/>
    </row>
    <row r="37" spans="1:5">
      <c r="A37" s="2"/>
      <c r="B37" s="13"/>
    </row>
    <row r="38" spans="1:5">
      <c r="A38" s="2"/>
      <c r="B38" s="13"/>
    </row>
    <row r="39" spans="1:5">
      <c r="A39" s="2"/>
      <c r="B39" s="13"/>
    </row>
    <row r="41" spans="1:5" ht="15">
      <c r="A41" s="3" t="s">
        <v>13</v>
      </c>
      <c r="B41" s="3" t="s">
        <v>21</v>
      </c>
    </row>
    <row r="42" spans="1:5">
      <c r="A42" s="2">
        <v>0</v>
      </c>
      <c r="B42" s="13">
        <v>500</v>
      </c>
      <c r="D42" s="1" t="s">
        <v>23</v>
      </c>
      <c r="E42" s="1">
        <v>200</v>
      </c>
    </row>
    <row r="43" spans="1:5">
      <c r="A43" s="2">
        <v>1</v>
      </c>
      <c r="B43" s="13">
        <f>IF(B42+(($E$3*B42)*(1-(B42/$E$2)))-$E$42&lt;0,0,B42+(($E$3*B42)*(1-(B42/$E$2)))-$E$42)</f>
        <v>337.5</v>
      </c>
    </row>
    <row r="44" spans="1:5">
      <c r="A44" s="2">
        <v>2</v>
      </c>
      <c r="B44" s="13">
        <f>IF(B43+(($E$3*B43)*(1-(B43/$E$2)))-$E$42&lt;0,0,B43+(($E$3*B43)*(1-(B43/$E$2)))-$E$42)</f>
        <v>165.5546875</v>
      </c>
    </row>
    <row r="45" spans="1:5">
      <c r="A45" s="2">
        <v>3</v>
      </c>
      <c r="B45" s="13">
        <f>IF(B44+(($E$3*B44)*(1-(B44/$E$2)))-$E$42&lt;0,0,B44+(($E$3*B44)*(1-(B44/$E$2)))-$E$42)</f>
        <v>0</v>
      </c>
      <c r="C45" s="14"/>
    </row>
    <row r="46" spans="1:5">
      <c r="A46" s="2">
        <v>4</v>
      </c>
      <c r="B46" s="13">
        <f>IF(B45+(($E$3*B45)*(1-(B45/$E$2)))-$E$42&lt;0,0,B45+(($E$3*B45)*(1-(B45/$E$2)))-$E$42)</f>
        <v>0</v>
      </c>
      <c r="C46" s="14"/>
    </row>
    <row r="47" spans="1:5">
      <c r="A47" s="2">
        <v>5</v>
      </c>
      <c r="B47" s="13">
        <f>IF(B46+(($E$3*B46)*(1-(B46/$E$2)))-$E$42&lt;0,0,B46+(($E$3*B46)*(1-(B46/$E$2)))-$E$42)</f>
        <v>0</v>
      </c>
    </row>
    <row r="48" spans="1:5">
      <c r="A48" s="2">
        <v>6</v>
      </c>
      <c r="B48" s="13">
        <f>IF(B47+(($E$3*B47)*(1-(B47/$E$2)))-$E$42&lt;0,0,B47+(($E$3*B47)*(1-(B47/$E$2)))-$E$42)</f>
        <v>0</v>
      </c>
    </row>
    <row r="49" spans="1:2">
      <c r="A49" s="2">
        <v>7</v>
      </c>
      <c r="B49" s="13">
        <f>IF(B48+(($E$3*B48)*(1-(B48/$E$2)))-$E$42&lt;0,0,B48+(($E$3*B48)*(1-(B48/$E$2)))-$E$42)</f>
        <v>0</v>
      </c>
    </row>
    <row r="50" spans="1:2">
      <c r="A50" s="2">
        <v>8</v>
      </c>
      <c r="B50" s="13">
        <f>IF(B49+(($E$3*B49)*(1-(B49/$E$2)))-$E$42&lt;0,0,B49+(($E$3*B49)*(1-(B49/$E$2)))-$E$42)</f>
        <v>0</v>
      </c>
    </row>
    <row r="51" spans="1:2">
      <c r="A51" s="2">
        <v>9</v>
      </c>
      <c r="B51" s="13">
        <f>IF(B50+(($E$3*B50)*(1-(B50/$E$2)))-$E$42&lt;0,0,B50+(($E$3*B50)*(1-(B50/$E$2)))-$E$42)</f>
        <v>0</v>
      </c>
    </row>
    <row r="52" spans="1:2">
      <c r="A52" s="2">
        <v>10</v>
      </c>
      <c r="B52" s="13">
        <f>IF(B51+(($E$3*B51)*(1-(B51/$E$2)))-$E$42&lt;0,0,B51+(($E$3*B51)*(1-(B51/$E$2)))-$E$42)</f>
        <v>0</v>
      </c>
    </row>
    <row r="53" spans="1:2">
      <c r="A53" s="2">
        <v>11</v>
      </c>
      <c r="B53" s="13">
        <f>IF(B52+(($E$3*B52)*(1-(B52/$E$2)))-$E$42&lt;0,0,B52+(($E$3*B52)*(1-(B52/$E$2)))-$E$42)</f>
        <v>0</v>
      </c>
    </row>
    <row r="54" spans="1:2">
      <c r="A54" s="2">
        <v>12</v>
      </c>
      <c r="B54" s="13">
        <f>IF(B53+(($E$3*B53)*(1-(B53/$E$2)))-$E$42&lt;0,0,B53+(($E$3*B53)*(1-(B53/$E$2)))-$E$42)</f>
        <v>0</v>
      </c>
    </row>
    <row r="55" spans="1:2">
      <c r="A55" s="2">
        <v>13</v>
      </c>
      <c r="B55" s="13">
        <f>IF(B54+(($E$3*B54)*(1-(B54/$E$2)))-$E$42&lt;0,0,B54+(($E$3*B54)*(1-(B54/$E$2)))-$E$42)</f>
        <v>0</v>
      </c>
    </row>
    <row r="56" spans="1:2">
      <c r="A56" s="2">
        <v>14</v>
      </c>
      <c r="B56" s="13">
        <f>IF(B55+(($E$3*B55)*(1-(B55/$E$2)))-$E$42&lt;0,0,B55+(($E$3*B55)*(1-(B55/$E$2)))-$E$42)</f>
        <v>0</v>
      </c>
    </row>
    <row r="57" spans="1:2">
      <c r="A57" s="2">
        <v>15</v>
      </c>
      <c r="B57" s="13">
        <f>IF(B56+(($E$3*B56)*(1-(B56/$E$2)))-$E$42&lt;0,0,B56+(($E$3*B56)*(1-(B56/$E$2)))-$E$42)</f>
        <v>0</v>
      </c>
    </row>
    <row r="58" spans="1:2">
      <c r="A58" s="2">
        <v>16</v>
      </c>
      <c r="B58" s="13">
        <f>IF(B57+(($E$3*B57)*(1-(B57/$E$2)))-$E$42&lt;0,0,B57+(($E$3*B57)*(1-(B57/$E$2)))-$E$42)</f>
        <v>0</v>
      </c>
    </row>
    <row r="59" spans="1:2">
      <c r="A59" s="2">
        <v>17</v>
      </c>
      <c r="B59" s="13">
        <f>IF(B58+(($E$3*B58)*(1-(B58/$E$2)))-$E$42&lt;0,0,B58+(($E$3*B58)*(1-(B58/$E$2)))-$E$42)</f>
        <v>0</v>
      </c>
    </row>
    <row r="60" spans="1:2">
      <c r="A60" s="2">
        <v>18</v>
      </c>
      <c r="B60" s="13">
        <f>IF(B59+(($E$3*B59)*(1-(B59/$E$2)))-$E$42&lt;0,0,B59+(($E$3*B59)*(1-(B59/$E$2)))-$E$42)</f>
        <v>0</v>
      </c>
    </row>
    <row r="61" spans="1:2">
      <c r="A61" s="2">
        <v>19</v>
      </c>
      <c r="B61" s="13">
        <f>IF(B60+(($E$3*B60)*(1-(B60/$E$2)))-$E$42&lt;0,0,B60+(($E$3*B60)*(1-(B60/$E$2)))-$E$42)</f>
        <v>0</v>
      </c>
    </row>
    <row r="62" spans="1:2">
      <c r="A62" s="2">
        <v>20</v>
      </c>
      <c r="B62" s="13">
        <f>IF(B61+(($E$3*B61)*(1-(B61/$E$2)))-$E$42&lt;0,0,B61+(($E$3*B61)*(1-(B61/$E$2)))-$E$42)</f>
        <v>0</v>
      </c>
    </row>
    <row r="63" spans="1:2">
      <c r="A63" s="2">
        <v>21</v>
      </c>
      <c r="B63" s="13">
        <f>IF(B62+(($E$3*B62)*(1-(B62/$E$2)))-$E$42&lt;0,0,B62+(($E$3*B62)*(1-(B62/$E$2)))-$E$42)</f>
        <v>0</v>
      </c>
    </row>
    <row r="64" spans="1:2">
      <c r="A64" s="2">
        <v>22</v>
      </c>
      <c r="B64" s="13">
        <f>IF(B63+(($E$3*B63)*(1-(B63/$E$2)))-$E$42&lt;0,0,B63+(($E$3*B63)*(1-(B63/$E$2)))-$E$42)</f>
        <v>0</v>
      </c>
    </row>
    <row r="65" spans="1:2">
      <c r="A65" s="2">
        <v>23</v>
      </c>
      <c r="B65" s="13">
        <f>IF(B64+(($E$3*B64)*(1-(B64/$E$2)))-$E$42&lt;0,0,B64+(($E$3*B64)*(1-(B64/$E$2)))-$E$42)</f>
        <v>0</v>
      </c>
    </row>
    <row r="66" spans="1:2">
      <c r="A66" s="2">
        <v>24</v>
      </c>
      <c r="B66" s="13">
        <f>IF(B65+(($E$3*B65)*(1-(B65/$E$2)))-$E$42&lt;0,0,B65+(($E$3*B65)*(1-(B65/$E$2)))-$E$42)</f>
        <v>0</v>
      </c>
    </row>
    <row r="67" spans="1:2">
      <c r="A67" s="2">
        <v>25</v>
      </c>
      <c r="B67" s="13">
        <f>IF(B66+(($E$3*B66)*(1-(B66/$E$2)))-$E$42&lt;0,0,B66+(($E$3*B66)*(1-(B66/$E$2)))-$E$42)</f>
        <v>0</v>
      </c>
    </row>
    <row r="68" spans="1:2">
      <c r="A68" s="2">
        <v>26</v>
      </c>
      <c r="B68" s="13">
        <f>IF(B67+(($E$3*B67)*(1-(B67/$E$2)))-$E$42&lt;0,0,B67+(($E$3*B67)*(1-(B67/$E$2)))-$E$42)</f>
        <v>0</v>
      </c>
    </row>
    <row r="69" spans="1:2">
      <c r="A69" s="2">
        <v>27</v>
      </c>
      <c r="B69" s="13">
        <f>IF(B68+(($E$3*B68)*(1-(B68/$E$2)))-$E$42&lt;0,0,B68+(($E$3*B68)*(1-(B68/$E$2)))-$E$42)</f>
        <v>0</v>
      </c>
    </row>
    <row r="70" spans="1:2">
      <c r="A70" s="2">
        <v>28</v>
      </c>
      <c r="B70" s="13">
        <f>IF(B69+(($E$3*B69)*(1-(B69/$E$2)))-$E$42&lt;0,0,B69+(($E$3*B69)*(1-(B69/$E$2)))-$E$42)</f>
        <v>0</v>
      </c>
    </row>
    <row r="71" spans="1:2">
      <c r="A71" s="2">
        <v>29</v>
      </c>
      <c r="B71" s="13">
        <f>IF(B70+(($E$3*B70)*(1-(B70/$E$2)))-$E$42&lt;0,0,B70+(($E$3*B70)*(1-(B70/$E$2)))-$E$42)</f>
        <v>0</v>
      </c>
    </row>
    <row r="72" spans="1:2">
      <c r="A72" s="2">
        <v>30</v>
      </c>
      <c r="B72" s="13">
        <f>IF(B71+(($E$3*B71)*(1-(B71/$E$2)))-$E$42&lt;0,0,B71+(($E$3*B71)*(1-(B71/$E$2)))-$E$42)</f>
        <v>0</v>
      </c>
    </row>
  </sheetData>
  <mergeCells count="1">
    <mergeCell ref="A1:B1"/>
  </mergeCells>
  <pageMargins left="0.25" right="0.25" top="0.75" bottom="0.75" header="0.3" footer="0.3"/>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74F3-0053-40E9-BF04-ED9B44DD4CDA}">
  <sheetPr>
    <pageSetUpPr fitToPage="1"/>
  </sheetPr>
  <dimension ref="A1:E99"/>
  <sheetViews>
    <sheetView workbookViewId="0">
      <selection activeCell="N106" sqref="N106"/>
    </sheetView>
  </sheetViews>
  <sheetFormatPr defaultRowHeight="14.25"/>
  <cols>
    <col min="1" max="1" width="15.42578125" style="1" bestFit="1" customWidth="1"/>
    <col min="2" max="2" width="24.42578125" style="1" customWidth="1"/>
    <col min="3" max="16384" width="9.140625" style="1"/>
  </cols>
  <sheetData>
    <row r="1" spans="1:5" ht="15">
      <c r="A1" s="10" t="s">
        <v>25</v>
      </c>
    </row>
    <row r="2" spans="1:5" ht="15">
      <c r="A2" s="3" t="s">
        <v>13</v>
      </c>
      <c r="B2" s="3" t="s">
        <v>26</v>
      </c>
      <c r="D2" s="1" t="s">
        <v>27</v>
      </c>
      <c r="E2" s="1">
        <v>12</v>
      </c>
    </row>
    <row r="3" spans="1:5">
      <c r="A3" s="2">
        <v>0</v>
      </c>
      <c r="B3" s="11">
        <v>0</v>
      </c>
      <c r="D3" s="1" t="s">
        <v>28</v>
      </c>
      <c r="E3" s="1">
        <v>10000</v>
      </c>
    </row>
    <row r="4" spans="1:5">
      <c r="A4" s="2">
        <v>1</v>
      </c>
      <c r="B4" s="11">
        <f>B3+(1/($E$3*$E$4))*($E$2-B3)</f>
        <v>12</v>
      </c>
      <c r="D4" s="1" t="s">
        <v>29</v>
      </c>
      <c r="E4" s="1">
        <v>1E-4</v>
      </c>
    </row>
    <row r="5" spans="1:5">
      <c r="A5" s="2">
        <v>2</v>
      </c>
      <c r="B5" s="11">
        <f t="shared" ref="B5:B23" si="0">B4+(1/($E$3*$E$4))*($E$2-B4)</f>
        <v>12</v>
      </c>
    </row>
    <row r="6" spans="1:5">
      <c r="A6" s="2">
        <v>3</v>
      </c>
      <c r="B6" s="11">
        <f t="shared" si="0"/>
        <v>12</v>
      </c>
    </row>
    <row r="7" spans="1:5">
      <c r="A7" s="2">
        <v>4</v>
      </c>
      <c r="B7" s="11">
        <f t="shared" si="0"/>
        <v>12</v>
      </c>
    </row>
    <row r="8" spans="1:5">
      <c r="A8" s="2">
        <v>5</v>
      </c>
      <c r="B8" s="11">
        <f t="shared" si="0"/>
        <v>12</v>
      </c>
    </row>
    <row r="9" spans="1:5">
      <c r="A9" s="2">
        <v>6</v>
      </c>
      <c r="B9" s="11">
        <f t="shared" si="0"/>
        <v>12</v>
      </c>
    </row>
    <row r="10" spans="1:5">
      <c r="A10" s="2">
        <v>7</v>
      </c>
      <c r="B10" s="11">
        <f t="shared" si="0"/>
        <v>12</v>
      </c>
    </row>
    <row r="11" spans="1:5">
      <c r="A11" s="2">
        <v>8</v>
      </c>
      <c r="B11" s="11">
        <f t="shared" si="0"/>
        <v>12</v>
      </c>
    </row>
    <row r="12" spans="1:5">
      <c r="A12" s="2">
        <v>9</v>
      </c>
      <c r="B12" s="11">
        <f t="shared" si="0"/>
        <v>12</v>
      </c>
    </row>
    <row r="13" spans="1:5">
      <c r="A13" s="2">
        <v>10</v>
      </c>
      <c r="B13" s="11">
        <f t="shared" si="0"/>
        <v>12</v>
      </c>
    </row>
    <row r="14" spans="1:5">
      <c r="A14" s="2">
        <v>11</v>
      </c>
      <c r="B14" s="11">
        <f t="shared" si="0"/>
        <v>12</v>
      </c>
    </row>
    <row r="15" spans="1:5">
      <c r="A15" s="2">
        <v>12</v>
      </c>
      <c r="B15" s="11">
        <f t="shared" si="0"/>
        <v>12</v>
      </c>
    </row>
    <row r="16" spans="1:5">
      <c r="A16" s="2">
        <v>13</v>
      </c>
      <c r="B16" s="11">
        <f t="shared" si="0"/>
        <v>12</v>
      </c>
    </row>
    <row r="17" spans="1:5">
      <c r="A17" s="2">
        <v>14</v>
      </c>
      <c r="B17" s="11">
        <f t="shared" si="0"/>
        <v>12</v>
      </c>
    </row>
    <row r="18" spans="1:5">
      <c r="A18" s="2">
        <v>15</v>
      </c>
      <c r="B18" s="11">
        <f t="shared" si="0"/>
        <v>12</v>
      </c>
    </row>
    <row r="19" spans="1:5">
      <c r="A19" s="2">
        <v>16</v>
      </c>
      <c r="B19" s="11">
        <f t="shared" si="0"/>
        <v>12</v>
      </c>
    </row>
    <row r="20" spans="1:5">
      <c r="A20" s="2">
        <v>17</v>
      </c>
      <c r="B20" s="11">
        <f t="shared" si="0"/>
        <v>12</v>
      </c>
    </row>
    <row r="21" spans="1:5">
      <c r="A21" s="2">
        <v>18</v>
      </c>
      <c r="B21" s="11">
        <f t="shared" si="0"/>
        <v>12</v>
      </c>
    </row>
    <row r="22" spans="1:5">
      <c r="A22" s="2">
        <v>19</v>
      </c>
      <c r="B22" s="11">
        <f t="shared" si="0"/>
        <v>12</v>
      </c>
    </row>
    <row r="23" spans="1:5">
      <c r="A23" s="2">
        <v>20</v>
      </c>
      <c r="B23" s="11">
        <f t="shared" si="0"/>
        <v>12</v>
      </c>
    </row>
    <row r="24" spans="1:5">
      <c r="A24" s="2"/>
      <c r="B24" s="11"/>
    </row>
    <row r="25" spans="1:5">
      <c r="A25" s="2"/>
      <c r="B25" s="11"/>
    </row>
    <row r="26" spans="1:5">
      <c r="A26" s="2"/>
      <c r="B26" s="11"/>
    </row>
    <row r="27" spans="1:5">
      <c r="A27" s="2"/>
      <c r="B27" s="11"/>
    </row>
    <row r="28" spans="1:5">
      <c r="A28" s="2"/>
      <c r="B28" s="11"/>
    </row>
    <row r="29" spans="1:5">
      <c r="A29" s="2"/>
      <c r="B29" s="11"/>
    </row>
    <row r="32" spans="1:5" ht="15">
      <c r="A32" s="3" t="s">
        <v>13</v>
      </c>
      <c r="B32" s="3" t="s">
        <v>26</v>
      </c>
      <c r="D32" s="1" t="s">
        <v>27</v>
      </c>
      <c r="E32" s="1">
        <v>12</v>
      </c>
    </row>
    <row r="33" spans="1:5">
      <c r="A33" s="2">
        <v>0</v>
      </c>
      <c r="B33" s="12">
        <v>0</v>
      </c>
      <c r="D33" s="1" t="s">
        <v>28</v>
      </c>
      <c r="E33" s="1">
        <v>100000</v>
      </c>
    </row>
    <row r="34" spans="1:5">
      <c r="A34" s="2">
        <v>1</v>
      </c>
      <c r="B34" s="12">
        <f>B33+(1/($E$33*$E$34))*($E$32-B33)</f>
        <v>1.2000000000000002</v>
      </c>
      <c r="D34" s="1" t="s">
        <v>29</v>
      </c>
      <c r="E34" s="1">
        <v>1E-4</v>
      </c>
    </row>
    <row r="35" spans="1:5">
      <c r="A35" s="2">
        <v>2</v>
      </c>
      <c r="B35" s="12">
        <f t="shared" ref="B35:B53" si="1">B34+(1/($E$33*$E$34))*($E$32-B34)</f>
        <v>2.2800000000000002</v>
      </c>
    </row>
    <row r="36" spans="1:5">
      <c r="A36" s="2">
        <v>3</v>
      </c>
      <c r="B36" s="12">
        <f t="shared" si="1"/>
        <v>3.2520000000000002</v>
      </c>
    </row>
    <row r="37" spans="1:5">
      <c r="A37" s="2">
        <v>4</v>
      </c>
      <c r="B37" s="12">
        <f t="shared" si="1"/>
        <v>4.1268000000000002</v>
      </c>
    </row>
    <row r="38" spans="1:5">
      <c r="A38" s="2">
        <v>5</v>
      </c>
      <c r="B38" s="12">
        <f t="shared" si="1"/>
        <v>4.9141200000000005</v>
      </c>
    </row>
    <row r="39" spans="1:5">
      <c r="A39" s="2">
        <v>6</v>
      </c>
      <c r="B39" s="12">
        <f t="shared" si="1"/>
        <v>5.6227080000000003</v>
      </c>
    </row>
    <row r="40" spans="1:5">
      <c r="A40" s="2">
        <v>7</v>
      </c>
      <c r="B40" s="12">
        <f t="shared" si="1"/>
        <v>6.2604372000000001</v>
      </c>
    </row>
    <row r="41" spans="1:5">
      <c r="A41" s="2">
        <v>8</v>
      </c>
      <c r="B41" s="12">
        <f t="shared" si="1"/>
        <v>6.8343934800000001</v>
      </c>
    </row>
    <row r="42" spans="1:5">
      <c r="A42" s="2">
        <v>9</v>
      </c>
      <c r="B42" s="12">
        <f t="shared" si="1"/>
        <v>7.350954132</v>
      </c>
    </row>
    <row r="43" spans="1:5">
      <c r="A43" s="2">
        <v>10</v>
      </c>
      <c r="B43" s="12">
        <f t="shared" si="1"/>
        <v>7.8158587188000004</v>
      </c>
    </row>
    <row r="44" spans="1:5">
      <c r="A44" s="2">
        <v>11</v>
      </c>
      <c r="B44" s="12">
        <f t="shared" si="1"/>
        <v>8.2342728469199997</v>
      </c>
    </row>
    <row r="45" spans="1:5">
      <c r="A45" s="2">
        <v>12</v>
      </c>
      <c r="B45" s="12">
        <f t="shared" si="1"/>
        <v>8.6108455622280005</v>
      </c>
    </row>
    <row r="46" spans="1:5">
      <c r="A46" s="2">
        <v>13</v>
      </c>
      <c r="B46" s="12">
        <f t="shared" si="1"/>
        <v>8.9497610060052004</v>
      </c>
    </row>
    <row r="47" spans="1:5">
      <c r="A47" s="2">
        <v>14</v>
      </c>
      <c r="B47" s="12">
        <f t="shared" si="1"/>
        <v>9.25478490540468</v>
      </c>
    </row>
    <row r="48" spans="1:5">
      <c r="A48" s="2">
        <v>15</v>
      </c>
      <c r="B48" s="12">
        <f t="shared" si="1"/>
        <v>9.5293064148642124</v>
      </c>
    </row>
    <row r="49" spans="1:5">
      <c r="A49" s="2">
        <v>16</v>
      </c>
      <c r="B49" s="12">
        <f t="shared" si="1"/>
        <v>9.7763757733777918</v>
      </c>
    </row>
    <row r="50" spans="1:5">
      <c r="A50" s="2">
        <v>17</v>
      </c>
      <c r="B50" s="12">
        <f t="shared" si="1"/>
        <v>9.9987381960400121</v>
      </c>
    </row>
    <row r="51" spans="1:5">
      <c r="A51" s="2">
        <v>18</v>
      </c>
      <c r="B51" s="12">
        <f t="shared" si="1"/>
        <v>10.198864376436012</v>
      </c>
    </row>
    <row r="52" spans="1:5">
      <c r="A52" s="2">
        <v>19</v>
      </c>
      <c r="B52" s="12">
        <f t="shared" si="1"/>
        <v>10.37897793879241</v>
      </c>
    </row>
    <row r="53" spans="1:5">
      <c r="A53" s="2">
        <v>20</v>
      </c>
      <c r="B53" s="12">
        <f t="shared" si="1"/>
        <v>10.541080144913169</v>
      </c>
    </row>
    <row r="55" spans="1:5" ht="15">
      <c r="A55" s="3" t="s">
        <v>13</v>
      </c>
      <c r="B55" s="3" t="s">
        <v>26</v>
      </c>
      <c r="D55" s="1" t="s">
        <v>27</v>
      </c>
      <c r="E55" s="1">
        <v>12</v>
      </c>
    </row>
    <row r="56" spans="1:5">
      <c r="A56" s="2">
        <v>0</v>
      </c>
      <c r="B56" s="12">
        <v>0</v>
      </c>
      <c r="D56" s="1" t="s">
        <v>28</v>
      </c>
      <c r="E56" s="1">
        <v>10000</v>
      </c>
    </row>
    <row r="57" spans="1:5">
      <c r="A57" s="2">
        <v>1</v>
      </c>
      <c r="B57" s="12">
        <f>B56+(1/($E$56*$E$57))*($E$55-B56)</f>
        <v>1.2000000000000002</v>
      </c>
      <c r="D57" s="1" t="s">
        <v>29</v>
      </c>
      <c r="E57" s="1">
        <v>1E-3</v>
      </c>
    </row>
    <row r="58" spans="1:5">
      <c r="A58" s="2">
        <v>2</v>
      </c>
      <c r="B58" s="12">
        <f t="shared" ref="B58:B76" si="2">B57+(1/($E$56*$E$57))*($E$55-B57)</f>
        <v>2.2800000000000002</v>
      </c>
    </row>
    <row r="59" spans="1:5">
      <c r="A59" s="2">
        <v>3</v>
      </c>
      <c r="B59" s="12">
        <f t="shared" si="2"/>
        <v>3.2520000000000002</v>
      </c>
    </row>
    <row r="60" spans="1:5">
      <c r="A60" s="2">
        <v>4</v>
      </c>
      <c r="B60" s="12">
        <f t="shared" si="2"/>
        <v>4.1268000000000002</v>
      </c>
    </row>
    <row r="61" spans="1:5">
      <c r="A61" s="2">
        <v>5</v>
      </c>
      <c r="B61" s="12">
        <f t="shared" si="2"/>
        <v>4.9141200000000005</v>
      </c>
    </row>
    <row r="62" spans="1:5">
      <c r="A62" s="2">
        <v>6</v>
      </c>
      <c r="B62" s="12">
        <f t="shared" si="2"/>
        <v>5.6227080000000003</v>
      </c>
    </row>
    <row r="63" spans="1:5">
      <c r="A63" s="2">
        <v>7</v>
      </c>
      <c r="B63" s="12">
        <f t="shared" si="2"/>
        <v>6.2604372000000001</v>
      </c>
    </row>
    <row r="64" spans="1:5">
      <c r="A64" s="2">
        <v>8</v>
      </c>
      <c r="B64" s="12">
        <f t="shared" si="2"/>
        <v>6.8343934800000001</v>
      </c>
    </row>
    <row r="65" spans="1:5">
      <c r="A65" s="2">
        <v>9</v>
      </c>
      <c r="B65" s="12">
        <f t="shared" si="2"/>
        <v>7.350954132</v>
      </c>
    </row>
    <row r="66" spans="1:5">
      <c r="A66" s="2">
        <v>10</v>
      </c>
      <c r="B66" s="12">
        <f t="shared" si="2"/>
        <v>7.8158587188000004</v>
      </c>
    </row>
    <row r="67" spans="1:5">
      <c r="A67" s="2">
        <v>11</v>
      </c>
      <c r="B67" s="12">
        <f t="shared" si="2"/>
        <v>8.2342728469199997</v>
      </c>
    </row>
    <row r="68" spans="1:5">
      <c r="A68" s="2">
        <v>12</v>
      </c>
      <c r="B68" s="12">
        <f t="shared" si="2"/>
        <v>8.6108455622280005</v>
      </c>
    </row>
    <row r="69" spans="1:5">
      <c r="A69" s="2">
        <v>13</v>
      </c>
      <c r="B69" s="12">
        <f t="shared" si="2"/>
        <v>8.9497610060052004</v>
      </c>
    </row>
    <row r="70" spans="1:5">
      <c r="A70" s="2">
        <v>14</v>
      </c>
      <c r="B70" s="12">
        <f t="shared" si="2"/>
        <v>9.25478490540468</v>
      </c>
    </row>
    <row r="71" spans="1:5">
      <c r="A71" s="2">
        <v>15</v>
      </c>
      <c r="B71" s="12">
        <f t="shared" si="2"/>
        <v>9.5293064148642124</v>
      </c>
    </row>
    <row r="72" spans="1:5">
      <c r="A72" s="2">
        <v>16</v>
      </c>
      <c r="B72" s="12">
        <f t="shared" si="2"/>
        <v>9.7763757733777918</v>
      </c>
    </row>
    <row r="73" spans="1:5">
      <c r="A73" s="2">
        <v>17</v>
      </c>
      <c r="B73" s="12">
        <f t="shared" si="2"/>
        <v>9.9987381960400121</v>
      </c>
    </row>
    <row r="74" spans="1:5">
      <c r="A74" s="2">
        <v>18</v>
      </c>
      <c r="B74" s="12">
        <f t="shared" si="2"/>
        <v>10.198864376436012</v>
      </c>
    </row>
    <row r="75" spans="1:5">
      <c r="A75" s="2">
        <v>19</v>
      </c>
      <c r="B75" s="12">
        <f t="shared" si="2"/>
        <v>10.37897793879241</v>
      </c>
    </row>
    <row r="76" spans="1:5">
      <c r="A76" s="2">
        <v>20</v>
      </c>
      <c r="B76" s="12">
        <f t="shared" si="2"/>
        <v>10.541080144913169</v>
      </c>
    </row>
    <row r="78" spans="1:5" ht="15">
      <c r="A78" s="3" t="s">
        <v>13</v>
      </c>
      <c r="B78" s="3" t="s">
        <v>26</v>
      </c>
      <c r="D78" s="1" t="s">
        <v>27</v>
      </c>
      <c r="E78" s="1">
        <v>12</v>
      </c>
    </row>
    <row r="79" spans="1:5">
      <c r="A79" s="2">
        <v>0</v>
      </c>
      <c r="B79" s="12">
        <v>0</v>
      </c>
      <c r="D79" s="1" t="s">
        <v>28</v>
      </c>
      <c r="E79" s="1">
        <v>100000</v>
      </c>
    </row>
    <row r="80" spans="1:5">
      <c r="A80" s="2">
        <v>1</v>
      </c>
      <c r="B80" s="12">
        <f>B79+(1/($E$79*$E$80))*($E$78-B79)</f>
        <v>0.12</v>
      </c>
      <c r="D80" s="1" t="s">
        <v>29</v>
      </c>
      <c r="E80" s="1">
        <v>1E-3</v>
      </c>
    </row>
    <row r="81" spans="1:2">
      <c r="A81" s="2">
        <v>2</v>
      </c>
      <c r="B81" s="12">
        <f t="shared" ref="B81:B99" si="3">B80+(1/($E$56*$E$57))*($E$55-B80)</f>
        <v>1.3080000000000003</v>
      </c>
    </row>
    <row r="82" spans="1:2">
      <c r="A82" s="2">
        <v>3</v>
      </c>
      <c r="B82" s="12">
        <f t="shared" si="3"/>
        <v>2.3772000000000002</v>
      </c>
    </row>
    <row r="83" spans="1:2">
      <c r="A83" s="2">
        <v>4</v>
      </c>
      <c r="B83" s="12">
        <f t="shared" si="3"/>
        <v>3.33948</v>
      </c>
    </row>
    <row r="84" spans="1:2">
      <c r="A84" s="2">
        <v>5</v>
      </c>
      <c r="B84" s="12">
        <f t="shared" si="3"/>
        <v>4.2055319999999998</v>
      </c>
    </row>
    <row r="85" spans="1:2">
      <c r="A85" s="2">
        <v>6</v>
      </c>
      <c r="B85" s="12">
        <f t="shared" si="3"/>
        <v>4.9849788000000004</v>
      </c>
    </row>
    <row r="86" spans="1:2">
      <c r="A86" s="2">
        <v>7</v>
      </c>
      <c r="B86" s="12">
        <f t="shared" si="3"/>
        <v>5.6864809200000002</v>
      </c>
    </row>
    <row r="87" spans="1:2">
      <c r="A87" s="2">
        <v>8</v>
      </c>
      <c r="B87" s="12">
        <f t="shared" si="3"/>
        <v>6.3178328280000002</v>
      </c>
    </row>
    <row r="88" spans="1:2">
      <c r="A88" s="2">
        <v>9</v>
      </c>
      <c r="B88" s="12">
        <f t="shared" si="3"/>
        <v>6.8860495452000006</v>
      </c>
    </row>
    <row r="89" spans="1:2">
      <c r="A89" s="2">
        <v>10</v>
      </c>
      <c r="B89" s="12">
        <f t="shared" si="3"/>
        <v>7.3974445906800002</v>
      </c>
    </row>
    <row r="90" spans="1:2">
      <c r="A90" s="2">
        <v>11</v>
      </c>
      <c r="B90" s="12">
        <f t="shared" si="3"/>
        <v>7.8577001316119999</v>
      </c>
    </row>
    <row r="91" spans="1:2">
      <c r="A91" s="2">
        <v>12</v>
      </c>
      <c r="B91" s="12">
        <f t="shared" si="3"/>
        <v>8.2719301184508005</v>
      </c>
    </row>
    <row r="92" spans="1:2">
      <c r="A92" s="2">
        <v>13</v>
      </c>
      <c r="B92" s="12">
        <f t="shared" si="3"/>
        <v>8.6447371066057208</v>
      </c>
    </row>
    <row r="93" spans="1:2">
      <c r="A93" s="2">
        <v>14</v>
      </c>
      <c r="B93" s="12">
        <f t="shared" si="3"/>
        <v>8.9802633959451494</v>
      </c>
    </row>
    <row r="94" spans="1:2">
      <c r="A94" s="2">
        <v>15</v>
      </c>
      <c r="B94" s="12">
        <f t="shared" si="3"/>
        <v>9.2822370563506347</v>
      </c>
    </row>
    <row r="95" spans="1:2">
      <c r="A95" s="2">
        <v>16</v>
      </c>
      <c r="B95" s="12">
        <f t="shared" si="3"/>
        <v>9.5540133507155716</v>
      </c>
    </row>
    <row r="96" spans="1:2">
      <c r="A96" s="2">
        <v>17</v>
      </c>
      <c r="B96" s="12">
        <f t="shared" si="3"/>
        <v>9.7986120156440144</v>
      </c>
    </row>
    <row r="97" spans="1:2">
      <c r="A97" s="2">
        <v>18</v>
      </c>
      <c r="B97" s="12">
        <f t="shared" si="3"/>
        <v>10.018750814079613</v>
      </c>
    </row>
    <row r="98" spans="1:2">
      <c r="A98" s="2">
        <v>19</v>
      </c>
      <c r="B98" s="12">
        <f t="shared" si="3"/>
        <v>10.216875732671651</v>
      </c>
    </row>
    <row r="99" spans="1:2">
      <c r="A99" s="2">
        <v>20</v>
      </c>
      <c r="B99" s="12">
        <f t="shared" si="3"/>
        <v>10.395188159404487</v>
      </c>
    </row>
  </sheetData>
  <pageMargins left="0.25" right="0.25" top="0.75" bottom="0.75" header="0.3" footer="0.3"/>
  <pageSetup paperSize="5"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3C9E-A361-4BDD-BBF5-1D20629FE515}">
  <sheetPr>
    <pageSetUpPr fitToPage="1"/>
  </sheetPr>
  <dimension ref="A1"/>
  <sheetViews>
    <sheetView tabSelected="1" topLeftCell="A35" workbookViewId="0">
      <selection activeCell="Q10" sqref="Q10"/>
    </sheetView>
  </sheetViews>
  <sheetFormatPr defaultRowHeight="15"/>
  <sheetData/>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2025-11-03T01:39:42Z</dcterms:created>
  <dcterms:modified xsi:type="dcterms:W3CDTF">2025-11-03T10:24:45Z</dcterms:modified>
  <cp:category/>
  <cp:contentStatus/>
</cp:coreProperties>
</file>