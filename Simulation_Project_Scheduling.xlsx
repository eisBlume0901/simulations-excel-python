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12"/>
  <workbookPr/>
  <xr:revisionPtr revIDLastSave="615" documentId="11_0B1D56BE9CDCCE836B02CE7A5FB0D4A9BBFD1C62" xr6:coauthVersionLast="47" xr6:coauthVersionMax="47" xr10:uidLastSave="{89D9C881-9E09-426F-8747-20143E6C4941}"/>
  <bookViews>
    <workbookView xWindow="240" yWindow="105" windowWidth="14805" windowHeight="8010" firstSheet="1" activeTab="2" xr2:uid="{00000000-000D-0000-FFFF-FFFF00000000}"/>
  </bookViews>
  <sheets>
    <sheet name="Problem" sheetId="1" r:id="rId1"/>
    <sheet name="Pt.1 - Critical Path" sheetId="2" r:id="rId2"/>
    <sheet name="Pt. 2 - Simulatio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2" i="3" l="1"/>
  <c r="Y11" i="3"/>
  <c r="Y10" i="3"/>
  <c r="Y9" i="3"/>
  <c r="T4" i="3"/>
  <c r="T5" i="3"/>
  <c r="T6" i="3"/>
  <c r="T7" i="3"/>
  <c r="T8" i="3"/>
  <c r="T9" i="3"/>
  <c r="T10" i="3"/>
  <c r="T11" i="3"/>
  <c r="T12" i="3"/>
  <c r="T3" i="3"/>
  <c r="S4" i="3"/>
  <c r="S5" i="3"/>
  <c r="S6" i="3"/>
  <c r="S7" i="3"/>
  <c r="S8" i="3"/>
  <c r="S9" i="3"/>
  <c r="S10" i="3"/>
  <c r="S11" i="3"/>
  <c r="S12" i="3"/>
  <c r="S3" i="3"/>
  <c r="R4" i="3"/>
  <c r="R5" i="3"/>
  <c r="R6" i="3"/>
  <c r="R7" i="3"/>
  <c r="R8" i="3"/>
  <c r="R9" i="3"/>
  <c r="R10" i="3"/>
  <c r="R11" i="3"/>
  <c r="R12" i="3"/>
  <c r="R3" i="3"/>
  <c r="Q4" i="3"/>
  <c r="Q5" i="3"/>
  <c r="Q6" i="3"/>
  <c r="Q7" i="3"/>
  <c r="Q8" i="3"/>
  <c r="Q9" i="3"/>
  <c r="Q10" i="3"/>
  <c r="Q11" i="3"/>
  <c r="Q12" i="3"/>
  <c r="Q3" i="3"/>
  <c r="P4" i="3"/>
  <c r="P5" i="3"/>
  <c r="P6" i="3"/>
  <c r="P7" i="3"/>
  <c r="P8" i="3"/>
  <c r="P9" i="3"/>
  <c r="P10" i="3"/>
  <c r="P11" i="3"/>
  <c r="P12" i="3"/>
  <c r="P3" i="3"/>
  <c r="K4" i="3"/>
  <c r="K5" i="3"/>
  <c r="K6" i="3"/>
  <c r="K7" i="3"/>
  <c r="K8" i="3"/>
  <c r="K9" i="3"/>
  <c r="K10" i="3"/>
  <c r="K11" i="3"/>
  <c r="K12" i="3"/>
  <c r="K3" i="3"/>
  <c r="J4" i="3"/>
  <c r="J5" i="3"/>
  <c r="J6" i="3"/>
  <c r="J7" i="3"/>
  <c r="J8" i="3"/>
  <c r="J9" i="3"/>
  <c r="J10" i="3"/>
  <c r="J11" i="3"/>
  <c r="J12" i="3"/>
  <c r="J3" i="3"/>
  <c r="O4" i="3"/>
  <c r="O5" i="3"/>
  <c r="O6" i="3"/>
  <c r="O7" i="3"/>
  <c r="O8" i="3"/>
  <c r="O9" i="3"/>
  <c r="O10" i="3"/>
  <c r="O11" i="3"/>
  <c r="O12" i="3"/>
  <c r="O3" i="3"/>
  <c r="N4" i="3"/>
  <c r="N5" i="3"/>
  <c r="N6" i="3"/>
  <c r="N7" i="3"/>
  <c r="N8" i="3"/>
  <c r="N9" i="3"/>
  <c r="N10" i="3"/>
  <c r="N11" i="3"/>
  <c r="N12" i="3"/>
  <c r="N3" i="3"/>
  <c r="M4" i="3"/>
  <c r="M5" i="3"/>
  <c r="M6" i="3"/>
  <c r="M7" i="3"/>
  <c r="M8" i="3"/>
  <c r="M9" i="3"/>
  <c r="M10" i="3"/>
  <c r="M11" i="3"/>
  <c r="M12" i="3"/>
  <c r="M3" i="3"/>
  <c r="I4" i="3"/>
  <c r="I5" i="3"/>
  <c r="I6" i="3"/>
  <c r="I7" i="3"/>
  <c r="I8" i="3"/>
  <c r="I9" i="3"/>
  <c r="I10" i="3"/>
  <c r="I11" i="3"/>
  <c r="I12" i="3"/>
  <c r="I3" i="3"/>
  <c r="H3" i="3"/>
  <c r="H4" i="3"/>
  <c r="H5" i="3"/>
  <c r="H6" i="3"/>
  <c r="H7" i="3"/>
  <c r="H8" i="3"/>
  <c r="H9" i="3"/>
  <c r="H10" i="3"/>
  <c r="H11" i="3"/>
  <c r="H12" i="3"/>
  <c r="G4" i="3"/>
  <c r="G5" i="3"/>
  <c r="G6" i="3"/>
  <c r="G7" i="3"/>
  <c r="G8" i="3"/>
  <c r="G9" i="3"/>
  <c r="G10" i="3"/>
  <c r="G11" i="3"/>
  <c r="G12" i="3"/>
  <c r="G3" i="3"/>
  <c r="AD4" i="3"/>
  <c r="AD5" i="3"/>
  <c r="AD3" i="3"/>
  <c r="AX4" i="3"/>
  <c r="AX3" i="3"/>
  <c r="AV3" i="3"/>
  <c r="AW3" i="3" s="1"/>
  <c r="AV4" i="3" s="1"/>
  <c r="AW4" i="3" s="1"/>
  <c r="AS4" i="3"/>
  <c r="AS3" i="3"/>
  <c r="AQ3" i="3"/>
  <c r="AR3" i="3" s="1"/>
  <c r="AQ4" i="3" s="1"/>
  <c r="AR4" i="3" s="1"/>
  <c r="AN4" i="3"/>
  <c r="AN3" i="3"/>
  <c r="AL3" i="3"/>
  <c r="AM3" i="3" s="1"/>
  <c r="AL4" i="3" s="1"/>
  <c r="AM4" i="3" s="1"/>
  <c r="AI4" i="3"/>
  <c r="AI5" i="3"/>
  <c r="AI3" i="3"/>
  <c r="D8" i="2"/>
  <c r="D7" i="2"/>
  <c r="D6" i="2"/>
  <c r="D5" i="2"/>
  <c r="D4" i="2"/>
  <c r="AB3" i="3" l="1"/>
  <c r="AC3" i="3" s="1"/>
  <c r="AB4" i="3" s="1"/>
  <c r="AC4" i="3" s="1"/>
  <c r="AB5" i="3" s="1"/>
  <c r="AC5" i="3" s="1"/>
  <c r="AG3" i="3"/>
  <c r="AH3" i="3" s="1"/>
  <c r="AG4" i="3" s="1"/>
  <c r="AH4" i="3" s="1"/>
  <c r="AG5" i="3" s="1"/>
  <c r="AH5" i="3" s="1"/>
</calcChain>
</file>

<file path=xl/sharedStrings.xml><?xml version="1.0" encoding="utf-8"?>
<sst xmlns="http://schemas.openxmlformats.org/spreadsheetml/2006/main" count="104" uniqueCount="42">
  <si>
    <t>Activity</t>
  </si>
  <si>
    <t>Description</t>
  </si>
  <si>
    <t>Predecessors</t>
  </si>
  <si>
    <t>Mean Days</t>
  </si>
  <si>
    <t>A</t>
  </si>
  <si>
    <t>B</t>
  </si>
  <si>
    <t>C</t>
  </si>
  <si>
    <t>D</t>
  </si>
  <si>
    <t>E</t>
  </si>
  <si>
    <t xml:space="preserve">A </t>
  </si>
  <si>
    <t>Excavate</t>
  </si>
  <si>
    <t>Days</t>
  </si>
  <si>
    <t>P</t>
  </si>
  <si>
    <t>Lay Foundation</t>
  </si>
  <si>
    <t>Rough Plumbing</t>
  </si>
  <si>
    <t>B,D</t>
  </si>
  <si>
    <t>Frame</t>
  </si>
  <si>
    <t>Finish Exterior</t>
  </si>
  <si>
    <t>F</t>
  </si>
  <si>
    <t>Install HVAC</t>
  </si>
  <si>
    <t>C,E</t>
  </si>
  <si>
    <t>Simulation Experiment</t>
  </si>
  <si>
    <t>Random Numbers</t>
  </si>
  <si>
    <t>Activity Times</t>
  </si>
  <si>
    <t>Path Lengths</t>
  </si>
  <si>
    <t>Project Duration</t>
  </si>
  <si>
    <t>Duration &gt; 27 days</t>
  </si>
  <si>
    <t>Path Critical?</t>
  </si>
  <si>
    <t xml:space="preserve">D </t>
  </si>
  <si>
    <t>RN1</t>
  </si>
  <si>
    <t>RN2</t>
  </si>
  <si>
    <t>RN3</t>
  </si>
  <si>
    <t>RN4</t>
  </si>
  <si>
    <t>RN5</t>
  </si>
  <si>
    <t>ABCF</t>
  </si>
  <si>
    <t>ADCF</t>
  </si>
  <si>
    <t>ADEF</t>
  </si>
  <si>
    <t>Mapping (0-99)</t>
  </si>
  <si>
    <t>Average Project Duration Time</t>
  </si>
  <si>
    <t>P (ABCF) in %</t>
  </si>
  <si>
    <t>P (ADCF) in %</t>
  </si>
  <si>
    <t>P (ADEF) 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</si>
</sst>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3" xfId="0" applyFill="1" applyBorder="1"/>
    <xf numFmtId="0" fontId="0" fillId="2" borderId="5" xfId="0" applyFill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2" borderId="7" xfId="0" applyFill="1" applyBorder="1" applyAlignment="1">
      <alignment horizontal="center"/>
    </xf>
    <xf numFmtId="0" fontId="0" fillId="2" borderId="0" xfId="0" applyFill="1" applyBorder="1"/>
    <xf numFmtId="0" fontId="0" fillId="2" borderId="8" xfId="0" applyFill="1" applyBorder="1"/>
    <xf numFmtId="0" fontId="0" fillId="0" borderId="7" xfId="0" applyBorder="1" applyAlignment="1">
      <alignment horizontal="center"/>
    </xf>
    <xf numFmtId="0" fontId="0" fillId="0" borderId="0" xfId="0" applyBorder="1"/>
    <xf numFmtId="0" fontId="0" fillId="0" borderId="8" xfId="0" applyBorder="1"/>
    <xf numFmtId="0" fontId="1" fillId="0" borderId="1" xfId="0" applyFont="1" applyBorder="1"/>
    <xf numFmtId="0" fontId="1" fillId="0" borderId="7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0" fillId="0" borderId="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1" fillId="6" borderId="0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1" fillId="6" borderId="0" xfId="0" applyFont="1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 wrapText="1"/>
    </xf>
    <xf numFmtId="0" fontId="0" fillId="3" borderId="0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8" xfId="0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8" borderId="0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11" xfId="0" applyFont="1" applyBorder="1"/>
    <xf numFmtId="0" fontId="1" fillId="3" borderId="11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7</xdr:col>
      <xdr:colOff>314325</xdr:colOff>
      <xdr:row>17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FF5210-C387-CB77-8B6E-9C5D218C87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0"/>
          <a:ext cx="4572000" cy="32670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152400</xdr:rowOff>
    </xdr:from>
    <xdr:to>
      <xdr:col>16</xdr:col>
      <xdr:colOff>504825</xdr:colOff>
      <xdr:row>25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D29944-546D-4BEE-81CA-FBAB5416A986}"/>
            </a:ext>
            <a:ext uri="{147F2762-F138-4A5C-976F-8EAC2B608ADB}">
              <a16:predDERef xmlns:a16="http://schemas.microsoft.com/office/drawing/2014/main" pred="{72FF5210-C387-CB77-8B6E-9C5D218C87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6695" t="12009" r="5941" b="14128"/>
        <a:stretch>
          <a:fillRect/>
        </a:stretch>
      </xdr:blipFill>
      <xdr:spPr>
        <a:xfrm>
          <a:off x="0" y="1676400"/>
          <a:ext cx="7953375" cy="3190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E24" sqref="E24"/>
    </sheetView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31669-FEBF-4CEF-957D-81272D16450D}">
  <dimension ref="A2:O8"/>
  <sheetViews>
    <sheetView workbookViewId="0">
      <selection activeCell="J8" sqref="J8"/>
    </sheetView>
  </sheetViews>
  <sheetFormatPr defaultRowHeight="15"/>
  <cols>
    <col min="1" max="1" width="7.28515625" bestFit="1" customWidth="1"/>
    <col min="2" max="2" width="15.140625" bestFit="1" customWidth="1"/>
    <col min="3" max="3" width="12.7109375" bestFit="1" customWidth="1"/>
    <col min="4" max="4" width="10.42578125" bestFit="1" customWidth="1"/>
    <col min="6" max="6" width="5.42578125" bestFit="1" customWidth="1"/>
    <col min="7" max="7" width="4.140625" bestFit="1" customWidth="1"/>
    <col min="8" max="8" width="5.42578125" bestFit="1" customWidth="1"/>
    <col min="9" max="9" width="4.140625" bestFit="1" customWidth="1"/>
    <col min="10" max="10" width="5.42578125" bestFit="1" customWidth="1"/>
    <col min="11" max="11" width="4.140625" bestFit="1" customWidth="1"/>
    <col min="12" max="12" width="5.42578125" bestFit="1" customWidth="1"/>
    <col min="13" max="13" width="4.140625" bestFit="1" customWidth="1"/>
    <col min="14" max="14" width="5.42578125" bestFit="1" customWidth="1"/>
    <col min="15" max="15" width="4.140625" bestFit="1" customWidth="1"/>
  </cols>
  <sheetData>
    <row r="2" spans="1:15">
      <c r="A2" s="16" t="s">
        <v>0</v>
      </c>
      <c r="B2" s="17" t="s">
        <v>1</v>
      </c>
      <c r="C2" s="17" t="s">
        <v>2</v>
      </c>
      <c r="D2" s="18" t="s">
        <v>3</v>
      </c>
      <c r="F2" s="1" t="s">
        <v>4</v>
      </c>
      <c r="G2" s="10"/>
      <c r="H2" s="4" t="s">
        <v>5</v>
      </c>
      <c r="I2" s="13"/>
      <c r="J2" s="4" t="s">
        <v>6</v>
      </c>
      <c r="K2" s="13"/>
      <c r="L2" s="4" t="s">
        <v>7</v>
      </c>
      <c r="M2" s="13"/>
      <c r="N2" s="4" t="s">
        <v>8</v>
      </c>
      <c r="O2" s="5"/>
    </row>
    <row r="3" spans="1:15">
      <c r="A3" s="19" t="s">
        <v>9</v>
      </c>
      <c r="B3" s="14" t="s">
        <v>10</v>
      </c>
      <c r="C3" s="14"/>
      <c r="D3" s="7"/>
      <c r="F3" s="2" t="s">
        <v>11</v>
      </c>
      <c r="G3" s="11" t="s">
        <v>12</v>
      </c>
      <c r="H3" s="6" t="s">
        <v>11</v>
      </c>
      <c r="I3" s="14" t="s">
        <v>12</v>
      </c>
      <c r="J3" s="6" t="s">
        <v>11</v>
      </c>
      <c r="K3" s="14" t="s">
        <v>12</v>
      </c>
      <c r="L3" s="6" t="s">
        <v>11</v>
      </c>
      <c r="M3" s="14" t="s">
        <v>12</v>
      </c>
      <c r="N3" s="6" t="s">
        <v>11</v>
      </c>
      <c r="O3" s="7" t="s">
        <v>12</v>
      </c>
    </row>
    <row r="4" spans="1:15">
      <c r="A4" s="19" t="s">
        <v>5</v>
      </c>
      <c r="B4" s="14" t="s">
        <v>13</v>
      </c>
      <c r="C4" s="21" t="s">
        <v>4</v>
      </c>
      <c r="D4" s="22">
        <f>SUMPRODUCT(F4:F6, G4:G6)</f>
        <v>7.0000000000000009</v>
      </c>
      <c r="F4" s="2">
        <v>4</v>
      </c>
      <c r="G4" s="11">
        <v>0.4</v>
      </c>
      <c r="H4" s="6">
        <v>8</v>
      </c>
      <c r="I4" s="14">
        <v>0.4</v>
      </c>
      <c r="J4" s="6">
        <v>2</v>
      </c>
      <c r="K4" s="14">
        <v>0.5</v>
      </c>
      <c r="L4" s="6">
        <v>4</v>
      </c>
      <c r="M4" s="14">
        <v>0.8</v>
      </c>
      <c r="N4" s="6">
        <v>2</v>
      </c>
      <c r="O4" s="7">
        <v>0.5</v>
      </c>
    </row>
    <row r="5" spans="1:15">
      <c r="A5" s="19" t="s">
        <v>6</v>
      </c>
      <c r="B5" s="14" t="s">
        <v>14</v>
      </c>
      <c r="C5" s="21" t="s">
        <v>15</v>
      </c>
      <c r="D5" s="22">
        <f>SUMPRODUCT(H4:H6,I4:I6)</f>
        <v>10</v>
      </c>
      <c r="F5" s="2">
        <v>8</v>
      </c>
      <c r="G5" s="11">
        <v>0.4</v>
      </c>
      <c r="H5" s="6">
        <v>10</v>
      </c>
      <c r="I5" s="14">
        <v>0.2</v>
      </c>
      <c r="J5" s="6">
        <v>4</v>
      </c>
      <c r="K5" s="14">
        <v>0.5</v>
      </c>
      <c r="L5" s="6">
        <v>9</v>
      </c>
      <c r="M5" s="14">
        <v>0.2</v>
      </c>
      <c r="N5" s="6">
        <v>10</v>
      </c>
      <c r="O5" s="7">
        <v>0.5</v>
      </c>
    </row>
    <row r="6" spans="1:15">
      <c r="A6" s="19" t="s">
        <v>7</v>
      </c>
      <c r="B6" s="14" t="s">
        <v>16</v>
      </c>
      <c r="C6" s="21" t="s">
        <v>4</v>
      </c>
      <c r="D6" s="22">
        <f>SUMPRODUCT(J4:J6,K4:K6)</f>
        <v>3</v>
      </c>
      <c r="F6" s="3">
        <v>11</v>
      </c>
      <c r="G6" s="12">
        <v>0.2</v>
      </c>
      <c r="H6" s="8">
        <v>12</v>
      </c>
      <c r="I6" s="15">
        <v>0.4</v>
      </c>
      <c r="J6" s="8"/>
      <c r="K6" s="15"/>
      <c r="L6" s="8"/>
      <c r="M6" s="15"/>
      <c r="N6" s="8"/>
      <c r="O6" s="9"/>
    </row>
    <row r="7" spans="1:15">
      <c r="A7" s="19" t="s">
        <v>8</v>
      </c>
      <c r="B7" s="14" t="s">
        <v>17</v>
      </c>
      <c r="C7" s="21" t="s">
        <v>7</v>
      </c>
      <c r="D7" s="22">
        <f>SUMPRODUCT(L4:L6,M4:M6)</f>
        <v>5</v>
      </c>
    </row>
    <row r="8" spans="1:15">
      <c r="A8" s="20" t="s">
        <v>18</v>
      </c>
      <c r="B8" s="15" t="s">
        <v>19</v>
      </c>
      <c r="C8" s="23" t="s">
        <v>20</v>
      </c>
      <c r="D8" s="24">
        <f>SUMPRODUCT(N4:N6,O4:O6)</f>
        <v>6</v>
      </c>
    </row>
  </sheetData>
  <mergeCells count="5">
    <mergeCell ref="F2:G2"/>
    <mergeCell ref="H2:I2"/>
    <mergeCell ref="J2:K2"/>
    <mergeCell ref="L2:M2"/>
    <mergeCell ref="N2:O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99E16-080D-47A3-A0B8-B5DF8C493875}">
  <dimension ref="A1:AX15"/>
  <sheetViews>
    <sheetView tabSelected="1" topLeftCell="F1" workbookViewId="0">
      <selection activeCell="Z14" sqref="Z14"/>
    </sheetView>
  </sheetViews>
  <sheetFormatPr defaultRowHeight="15"/>
  <cols>
    <col min="1" max="1" width="11.42578125" customWidth="1"/>
    <col min="2" max="6" width="5.85546875" customWidth="1"/>
    <col min="7" max="8" width="3.28515625" bestFit="1" customWidth="1"/>
    <col min="9" max="9" width="2.5703125" bestFit="1" customWidth="1"/>
    <col min="10" max="10" width="2.42578125" bestFit="1" customWidth="1"/>
    <col min="11" max="11" width="3.28515625" bestFit="1" customWidth="1"/>
    <col min="12" max="12" width="2.28515625" bestFit="1" customWidth="1"/>
    <col min="13" max="13" width="5.85546875" customWidth="1"/>
    <col min="14" max="14" width="6" bestFit="1" customWidth="1"/>
    <col min="15" max="15" width="5.85546875" customWidth="1"/>
    <col min="16" max="16" width="10.7109375" customWidth="1"/>
    <col min="17" max="17" width="8.85546875" customWidth="1"/>
    <col min="18" max="20" width="5.85546875" customWidth="1"/>
    <col min="21" max="21" width="7.7109375" bestFit="1" customWidth="1"/>
    <col min="22" max="22" width="10" customWidth="1"/>
    <col min="23" max="24" width="13.42578125" bestFit="1" customWidth="1"/>
    <col min="25" max="25" width="5.140625" bestFit="1" customWidth="1"/>
    <col min="26" max="26" width="7" customWidth="1"/>
    <col min="27" max="27" width="4.140625" bestFit="1" customWidth="1"/>
    <col min="29" max="29" width="4.42578125" customWidth="1"/>
    <col min="30" max="30" width="3.28515625" bestFit="1" customWidth="1"/>
    <col min="31" max="31" width="5.5703125" bestFit="1" customWidth="1"/>
    <col min="32" max="32" width="4.140625" bestFit="1" customWidth="1"/>
    <col min="33" max="33" width="14.42578125" bestFit="1" customWidth="1"/>
    <col min="34" max="35" width="3.28515625" bestFit="1" customWidth="1"/>
    <col min="36" max="36" width="5.5703125" bestFit="1" customWidth="1"/>
    <col min="37" max="37" width="4.140625" bestFit="1" customWidth="1"/>
    <col min="38" max="38" width="14.42578125" bestFit="1" customWidth="1"/>
    <col min="39" max="40" width="3.28515625" bestFit="1" customWidth="1"/>
    <col min="41" max="41" width="5.5703125" bestFit="1" customWidth="1"/>
    <col min="42" max="42" width="4.140625" bestFit="1" customWidth="1"/>
    <col min="43" max="43" width="14.42578125" bestFit="1" customWidth="1"/>
    <col min="44" max="45" width="3.28515625" bestFit="1" customWidth="1"/>
    <col min="46" max="46" width="5.5703125" bestFit="1" customWidth="1"/>
    <col min="47" max="47" width="4.140625" bestFit="1" customWidth="1"/>
    <col min="48" max="48" width="14.42578125" bestFit="1" customWidth="1"/>
    <col min="49" max="50" width="3.28515625" bestFit="1" customWidth="1"/>
  </cols>
  <sheetData>
    <row r="1" spans="1:50" s="41" customFormat="1" ht="29.25" customHeight="1">
      <c r="A1" s="61" t="s">
        <v>21</v>
      </c>
      <c r="B1" s="27" t="s">
        <v>22</v>
      </c>
      <c r="C1" s="28"/>
      <c r="D1" s="28"/>
      <c r="E1" s="28"/>
      <c r="F1" s="29"/>
      <c r="G1" s="28" t="s">
        <v>23</v>
      </c>
      <c r="H1" s="28"/>
      <c r="I1" s="28"/>
      <c r="J1" s="28"/>
      <c r="K1" s="28"/>
      <c r="L1" s="29"/>
      <c r="M1" s="28" t="s">
        <v>24</v>
      </c>
      <c r="N1" s="28"/>
      <c r="O1" s="28"/>
      <c r="P1" s="61" t="s">
        <v>25</v>
      </c>
      <c r="Q1" s="61" t="s">
        <v>26</v>
      </c>
      <c r="R1" s="27" t="s">
        <v>27</v>
      </c>
      <c r="S1" s="28"/>
      <c r="T1" s="29"/>
      <c r="V1" s="42" t="s">
        <v>0</v>
      </c>
      <c r="W1" s="43" t="s">
        <v>1</v>
      </c>
      <c r="X1" s="44" t="s">
        <v>2</v>
      </c>
      <c r="Z1" s="45" t="s">
        <v>4</v>
      </c>
      <c r="AA1" s="45"/>
      <c r="AB1" s="45"/>
      <c r="AC1" s="45"/>
      <c r="AD1" s="45"/>
      <c r="AE1" s="34" t="s">
        <v>5</v>
      </c>
      <c r="AF1" s="34"/>
      <c r="AG1" s="34"/>
      <c r="AH1" s="34"/>
      <c r="AI1" s="37"/>
      <c r="AJ1" s="35" t="s">
        <v>6</v>
      </c>
      <c r="AK1" s="35"/>
      <c r="AL1" s="35"/>
      <c r="AM1" s="35"/>
      <c r="AN1" s="35"/>
      <c r="AO1" s="36" t="s">
        <v>28</v>
      </c>
      <c r="AP1" s="36"/>
      <c r="AQ1" s="36"/>
      <c r="AR1" s="36"/>
      <c r="AS1" s="36"/>
      <c r="AT1" s="32" t="s">
        <v>8</v>
      </c>
      <c r="AU1" s="32"/>
      <c r="AV1" s="32"/>
      <c r="AW1" s="32"/>
      <c r="AX1" s="32"/>
    </row>
    <row r="2" spans="1:50" ht="15" customHeight="1">
      <c r="A2" s="65"/>
      <c r="B2" s="67" t="s">
        <v>29</v>
      </c>
      <c r="C2" s="68" t="s">
        <v>30</v>
      </c>
      <c r="D2" s="69" t="s">
        <v>31</v>
      </c>
      <c r="E2" s="70" t="s">
        <v>32</v>
      </c>
      <c r="F2" s="75" t="s">
        <v>33</v>
      </c>
      <c r="G2" s="67" t="s">
        <v>4</v>
      </c>
      <c r="H2" s="68" t="s">
        <v>5</v>
      </c>
      <c r="I2" s="69" t="s">
        <v>6</v>
      </c>
      <c r="J2" s="70" t="s">
        <v>7</v>
      </c>
      <c r="K2" s="71" t="s">
        <v>8</v>
      </c>
      <c r="L2" s="72" t="s">
        <v>18</v>
      </c>
      <c r="M2" s="31" t="s">
        <v>34</v>
      </c>
      <c r="N2" s="73" t="s">
        <v>35</v>
      </c>
      <c r="O2" s="73" t="s">
        <v>36</v>
      </c>
      <c r="P2" s="74"/>
      <c r="Q2" s="65"/>
      <c r="R2" s="66" t="s">
        <v>34</v>
      </c>
      <c r="S2" s="66" t="s">
        <v>35</v>
      </c>
      <c r="T2" s="66" t="s">
        <v>36</v>
      </c>
      <c r="V2" s="19" t="s">
        <v>9</v>
      </c>
      <c r="W2" s="14" t="s">
        <v>10</v>
      </c>
      <c r="X2" s="7"/>
      <c r="Z2" s="45" t="s">
        <v>11</v>
      </c>
      <c r="AA2" s="45" t="s">
        <v>12</v>
      </c>
      <c r="AB2" s="52" t="s">
        <v>37</v>
      </c>
      <c r="AC2" s="52"/>
      <c r="AD2" s="46"/>
      <c r="AE2" s="37" t="s">
        <v>11</v>
      </c>
      <c r="AF2" s="37" t="s">
        <v>12</v>
      </c>
      <c r="AG2" s="37" t="s">
        <v>37</v>
      </c>
      <c r="AH2" s="37"/>
      <c r="AI2" s="37"/>
      <c r="AJ2" s="38" t="s">
        <v>11</v>
      </c>
      <c r="AK2" s="38" t="s">
        <v>12</v>
      </c>
      <c r="AL2" s="38" t="s">
        <v>37</v>
      </c>
      <c r="AM2" s="38"/>
      <c r="AN2" s="38"/>
      <c r="AO2" s="39" t="s">
        <v>11</v>
      </c>
      <c r="AP2" s="39" t="s">
        <v>12</v>
      </c>
      <c r="AQ2" s="39" t="s">
        <v>37</v>
      </c>
      <c r="AR2" s="39"/>
      <c r="AS2" s="39"/>
      <c r="AT2" s="33" t="s">
        <v>11</v>
      </c>
      <c r="AU2" s="33" t="s">
        <v>12</v>
      </c>
      <c r="AV2" s="33" t="s">
        <v>37</v>
      </c>
      <c r="AW2" s="33"/>
      <c r="AX2" s="33"/>
    </row>
    <row r="3" spans="1:50">
      <c r="A3" s="6">
        <v>1</v>
      </c>
      <c r="B3" s="55">
        <v>57</v>
      </c>
      <c r="C3" s="56">
        <v>14</v>
      </c>
      <c r="D3" s="49">
        <v>76</v>
      </c>
      <c r="E3" s="50">
        <v>45</v>
      </c>
      <c r="F3" s="51">
        <v>89</v>
      </c>
      <c r="G3" s="55">
        <f>IF(B3&lt;$AA$3*100,$Z$3, IF(B3&lt;($AA$3+$AA$4)*100,$Z$4,$Z$5))</f>
        <v>8</v>
      </c>
      <c r="H3" s="56">
        <f>IF(C3&lt;$AF$3*100,$AE$3, IF(C3&lt;($AF$3+$AF$4)*100,$AE$4,$AE$5))</f>
        <v>8</v>
      </c>
      <c r="I3" s="49">
        <f>IF(D3&lt;$AK$3*100,$AJ$3, $AJ$4)</f>
        <v>4</v>
      </c>
      <c r="J3" s="50">
        <f>IF(E3&lt;$AP$3*100,$AO$3, $AO$4)</f>
        <v>4</v>
      </c>
      <c r="K3" s="51">
        <f>IF(F3&lt;$AU$3*100,$AT$3, $AT$4)</f>
        <v>10</v>
      </c>
      <c r="L3" s="62">
        <v>5</v>
      </c>
      <c r="M3" s="26">
        <f>G3+H3+I3+L3</f>
        <v>25</v>
      </c>
      <c r="N3" s="26">
        <f>G3+J3+I3+L3</f>
        <v>21</v>
      </c>
      <c r="O3" s="26">
        <f>G3+J3+K3+L3</f>
        <v>27</v>
      </c>
      <c r="P3" s="25">
        <f>MAX(M3:O3)</f>
        <v>27</v>
      </c>
      <c r="Q3" s="25">
        <f>IF(P3&gt;27,1,0)</f>
        <v>0</v>
      </c>
      <c r="R3" s="6">
        <f>IF(M3=P3,1,0)</f>
        <v>0</v>
      </c>
      <c r="S3" s="14">
        <f>IF(N3=P3,1,0)</f>
        <v>0</v>
      </c>
      <c r="T3" s="7">
        <f>IF(O3=P3,1,0)</f>
        <v>1</v>
      </c>
      <c r="V3" s="19" t="s">
        <v>5</v>
      </c>
      <c r="W3" s="14" t="s">
        <v>13</v>
      </c>
      <c r="X3" s="22" t="s">
        <v>4</v>
      </c>
      <c r="Z3" s="47">
        <v>4</v>
      </c>
      <c r="AA3" s="47">
        <v>0.4</v>
      </c>
      <c r="AB3" s="45">
        <f>AD3-AD3</f>
        <v>0</v>
      </c>
      <c r="AC3" s="45">
        <f>AD3-AB3</f>
        <v>39</v>
      </c>
      <c r="AD3" s="47">
        <f>ROUNDDOWN(99*AA3,0)</f>
        <v>39</v>
      </c>
      <c r="AE3" s="48">
        <v>8</v>
      </c>
      <c r="AF3" s="48">
        <v>0.4</v>
      </c>
      <c r="AG3" s="37">
        <f>AI3-AI3</f>
        <v>0</v>
      </c>
      <c r="AH3" s="37">
        <f>AI3-AG3</f>
        <v>39</v>
      </c>
      <c r="AI3" s="48">
        <f>ROUNDDOWN(99*AF3,0)</f>
        <v>39</v>
      </c>
      <c r="AJ3" s="49">
        <v>2</v>
      </c>
      <c r="AK3" s="49">
        <v>0.5</v>
      </c>
      <c r="AL3" s="38">
        <f>AN3-AN3</f>
        <v>0</v>
      </c>
      <c r="AM3" s="38">
        <f>AN3-AL3</f>
        <v>49</v>
      </c>
      <c r="AN3" s="49">
        <f>ROUNDDOWN(99*AK3,0)</f>
        <v>49</v>
      </c>
      <c r="AO3" s="50">
        <v>4</v>
      </c>
      <c r="AP3" s="50">
        <v>0.8</v>
      </c>
      <c r="AQ3" s="39">
        <f>AS3-AS3</f>
        <v>0</v>
      </c>
      <c r="AR3" s="39">
        <f>AS3-AQ3</f>
        <v>79</v>
      </c>
      <c r="AS3" s="50">
        <f>ROUNDDOWN(99*AP3,0)</f>
        <v>79</v>
      </c>
      <c r="AT3" s="51">
        <v>2</v>
      </c>
      <c r="AU3" s="51">
        <v>0.5</v>
      </c>
      <c r="AV3" s="33">
        <f>AX3-AX3</f>
        <v>0</v>
      </c>
      <c r="AW3" s="33">
        <f>AX3-AV3</f>
        <v>49</v>
      </c>
      <c r="AX3" s="51">
        <f>ROUNDDOWN(99*AU3,0)</f>
        <v>49</v>
      </c>
    </row>
    <row r="4" spans="1:50">
      <c r="A4" s="6">
        <v>2</v>
      </c>
      <c r="B4" s="55">
        <v>60</v>
      </c>
      <c r="C4" s="56">
        <v>82</v>
      </c>
      <c r="D4" s="49">
        <v>77</v>
      </c>
      <c r="E4" s="50">
        <v>22</v>
      </c>
      <c r="F4" s="51">
        <v>45</v>
      </c>
      <c r="G4" s="55">
        <f t="shared" ref="G4:G12" si="0">IF(B4&lt;$AA$3*100,$Z$3, IF(B4&lt;($AA$3+$AA$4)*100,$Z$4,$Z$5))</f>
        <v>8</v>
      </c>
      <c r="H4" s="56">
        <f t="shared" ref="H4:H12" si="1">IF(C4&lt;$AF$3*100,$AE$3, IF(C4&lt;($AF$3+$AF$4)*100,$AE$4,$AE$5))</f>
        <v>12</v>
      </c>
      <c r="I4" s="49">
        <f t="shared" ref="I4:I12" si="2">IF(D4&lt;$AK$3*100,$AJ$3, $AJ$4)</f>
        <v>4</v>
      </c>
      <c r="J4" s="50">
        <f t="shared" ref="J4:J12" si="3">IF(E4&lt;$AP$3*100,$AO$3, $AO$4)</f>
        <v>4</v>
      </c>
      <c r="K4" s="51">
        <f t="shared" ref="K4:K12" si="4">IF(F4&lt;$AU$3*100,$AT$3, $AT$4)</f>
        <v>2</v>
      </c>
      <c r="L4" s="62">
        <v>5</v>
      </c>
      <c r="M4" s="26">
        <f t="shared" ref="M4:M12" si="5">G4+H4+I4+L4</f>
        <v>29</v>
      </c>
      <c r="N4" s="26">
        <f t="shared" ref="N4:N12" si="6">G4+J4+I4+L4</f>
        <v>21</v>
      </c>
      <c r="O4" s="26">
        <f t="shared" ref="O4:O12" si="7">G4+J4+K4+L4</f>
        <v>19</v>
      </c>
      <c r="P4" s="25">
        <f t="shared" ref="P4:P12" si="8">MAX(M4:O4)</f>
        <v>29</v>
      </c>
      <c r="Q4" s="25">
        <f t="shared" ref="Q4:Q12" si="9">IF(P4&gt;27,1,0)</f>
        <v>1</v>
      </c>
      <c r="R4" s="6">
        <f t="shared" ref="R4:R12" si="10">IF(M4=P4,1,0)</f>
        <v>1</v>
      </c>
      <c r="S4" s="14">
        <f t="shared" ref="S4:S12" si="11">IF(N4=P4,1,0)</f>
        <v>0</v>
      </c>
      <c r="T4" s="7">
        <f t="shared" ref="T4:T12" si="12">IF(O4=P4,1,0)</f>
        <v>0</v>
      </c>
      <c r="V4" s="19" t="s">
        <v>6</v>
      </c>
      <c r="W4" s="14" t="s">
        <v>14</v>
      </c>
      <c r="X4" s="22" t="s">
        <v>15</v>
      </c>
      <c r="Z4" s="47">
        <v>8</v>
      </c>
      <c r="AA4" s="47">
        <v>0.4</v>
      </c>
      <c r="AB4" s="45">
        <f>AC3+1</f>
        <v>40</v>
      </c>
      <c r="AC4" s="45">
        <f>AB4+AD4</f>
        <v>79</v>
      </c>
      <c r="AD4" s="47">
        <f t="shared" ref="AD4:AD5" si="13">ROUNDDOWN(99*AA4,0)</f>
        <v>39</v>
      </c>
      <c r="AE4" s="48">
        <v>10</v>
      </c>
      <c r="AF4" s="48">
        <v>0.2</v>
      </c>
      <c r="AG4" s="37">
        <f>AH3+1</f>
        <v>40</v>
      </c>
      <c r="AH4" s="37">
        <f>AG4+AI4</f>
        <v>59</v>
      </c>
      <c r="AI4" s="48">
        <f t="shared" ref="AI4:AI5" si="14">ROUNDDOWN(99*AF4,0)</f>
        <v>19</v>
      </c>
      <c r="AJ4" s="49">
        <v>4</v>
      </c>
      <c r="AK4" s="49">
        <v>0.5</v>
      </c>
      <c r="AL4" s="38">
        <f>AM3+1</f>
        <v>50</v>
      </c>
      <c r="AM4" s="38">
        <f>AL4+AN4</f>
        <v>99</v>
      </c>
      <c r="AN4" s="49">
        <f t="shared" ref="AN4:AN5" si="15">ROUNDDOWN(99*AK4,0)</f>
        <v>49</v>
      </c>
      <c r="AO4" s="50">
        <v>9</v>
      </c>
      <c r="AP4" s="50">
        <v>0.2</v>
      </c>
      <c r="AQ4" s="39">
        <f>AR3+1</f>
        <v>80</v>
      </c>
      <c r="AR4" s="39">
        <f>AQ4+AS4</f>
        <v>99</v>
      </c>
      <c r="AS4" s="50">
        <f t="shared" ref="AS4:AS5" si="16">ROUNDDOWN(99*AP4,0)</f>
        <v>19</v>
      </c>
      <c r="AT4" s="51">
        <v>10</v>
      </c>
      <c r="AU4" s="51">
        <v>0.5</v>
      </c>
      <c r="AV4" s="33">
        <f>AW3+1</f>
        <v>50</v>
      </c>
      <c r="AW4" s="33">
        <f>AV4+AX4</f>
        <v>99</v>
      </c>
      <c r="AX4" s="51">
        <f t="shared" ref="AX4:AX5" si="17">ROUNDDOWN(99*AU4,0)</f>
        <v>49</v>
      </c>
    </row>
    <row r="5" spans="1:50">
      <c r="A5" s="6">
        <v>3</v>
      </c>
      <c r="B5" s="55">
        <v>35</v>
      </c>
      <c r="C5" s="56">
        <v>25</v>
      </c>
      <c r="D5" s="49">
        <v>54</v>
      </c>
      <c r="E5" s="50">
        <v>35</v>
      </c>
      <c r="F5" s="51">
        <v>50</v>
      </c>
      <c r="G5" s="55">
        <f t="shared" si="0"/>
        <v>4</v>
      </c>
      <c r="H5" s="56">
        <f t="shared" si="1"/>
        <v>8</v>
      </c>
      <c r="I5" s="49">
        <f t="shared" si="2"/>
        <v>4</v>
      </c>
      <c r="J5" s="50">
        <f t="shared" si="3"/>
        <v>4</v>
      </c>
      <c r="K5" s="51">
        <f t="shared" si="4"/>
        <v>10</v>
      </c>
      <c r="L5" s="62">
        <v>5</v>
      </c>
      <c r="M5" s="26">
        <f t="shared" si="5"/>
        <v>21</v>
      </c>
      <c r="N5" s="26">
        <f t="shared" si="6"/>
        <v>17</v>
      </c>
      <c r="O5" s="26">
        <f t="shared" si="7"/>
        <v>23</v>
      </c>
      <c r="P5" s="25">
        <f t="shared" si="8"/>
        <v>23</v>
      </c>
      <c r="Q5" s="25">
        <f t="shared" si="9"/>
        <v>0</v>
      </c>
      <c r="R5" s="6">
        <f t="shared" si="10"/>
        <v>0</v>
      </c>
      <c r="S5" s="14">
        <f t="shared" si="11"/>
        <v>0</v>
      </c>
      <c r="T5" s="7">
        <f t="shared" si="12"/>
        <v>1</v>
      </c>
      <c r="V5" s="19" t="s">
        <v>7</v>
      </c>
      <c r="W5" s="14" t="s">
        <v>16</v>
      </c>
      <c r="X5" s="22" t="s">
        <v>4</v>
      </c>
      <c r="Z5" s="47">
        <v>11</v>
      </c>
      <c r="AA5" s="47">
        <v>0.2</v>
      </c>
      <c r="AB5" s="45">
        <f>AC4+1</f>
        <v>80</v>
      </c>
      <c r="AC5" s="45">
        <f>AB5+AD5</f>
        <v>99</v>
      </c>
      <c r="AD5" s="47">
        <f t="shared" si="13"/>
        <v>19</v>
      </c>
      <c r="AE5" s="48">
        <v>12</v>
      </c>
      <c r="AF5" s="48">
        <v>0.4</v>
      </c>
      <c r="AG5" s="37">
        <f>AH4+1</f>
        <v>60</v>
      </c>
      <c r="AH5" s="37">
        <f>AG5+AI5</f>
        <v>99</v>
      </c>
      <c r="AI5" s="48">
        <f t="shared" si="14"/>
        <v>39</v>
      </c>
      <c r="AJ5" s="49"/>
      <c r="AK5" s="49"/>
      <c r="AL5" s="49"/>
      <c r="AM5" s="49"/>
      <c r="AN5" s="49"/>
      <c r="AO5" s="50"/>
      <c r="AP5" s="50"/>
      <c r="AQ5" s="39"/>
      <c r="AR5" s="39"/>
      <c r="AS5" s="50"/>
      <c r="AT5" s="51"/>
      <c r="AU5" s="51"/>
      <c r="AV5" s="33"/>
      <c r="AW5" s="33"/>
      <c r="AX5" s="51"/>
    </row>
    <row r="6" spans="1:50">
      <c r="A6" s="6">
        <v>4</v>
      </c>
      <c r="B6" s="55">
        <v>25</v>
      </c>
      <c r="C6" s="56">
        <v>60</v>
      </c>
      <c r="D6" s="49">
        <v>28</v>
      </c>
      <c r="E6" s="50">
        <v>64</v>
      </c>
      <c r="F6" s="51">
        <v>85</v>
      </c>
      <c r="G6" s="55">
        <f t="shared" si="0"/>
        <v>4</v>
      </c>
      <c r="H6" s="56">
        <f t="shared" si="1"/>
        <v>12</v>
      </c>
      <c r="I6" s="49">
        <f t="shared" si="2"/>
        <v>2</v>
      </c>
      <c r="J6" s="50">
        <f t="shared" si="3"/>
        <v>4</v>
      </c>
      <c r="K6" s="51">
        <f t="shared" si="4"/>
        <v>10</v>
      </c>
      <c r="L6" s="62">
        <v>5</v>
      </c>
      <c r="M6" s="26">
        <f t="shared" si="5"/>
        <v>23</v>
      </c>
      <c r="N6" s="26">
        <f t="shared" si="6"/>
        <v>15</v>
      </c>
      <c r="O6" s="26">
        <f t="shared" si="7"/>
        <v>23</v>
      </c>
      <c r="P6" s="25">
        <f t="shared" si="8"/>
        <v>23</v>
      </c>
      <c r="Q6" s="25">
        <f t="shared" si="9"/>
        <v>0</v>
      </c>
      <c r="R6" s="6">
        <f t="shared" si="10"/>
        <v>1</v>
      </c>
      <c r="S6" s="14">
        <f t="shared" si="11"/>
        <v>0</v>
      </c>
      <c r="T6" s="7">
        <f t="shared" si="12"/>
        <v>1</v>
      </c>
      <c r="V6" s="19" t="s">
        <v>8</v>
      </c>
      <c r="W6" s="14" t="s">
        <v>17</v>
      </c>
      <c r="X6" s="22" t="s">
        <v>7</v>
      </c>
    </row>
    <row r="7" spans="1:50">
      <c r="A7" s="6">
        <v>5</v>
      </c>
      <c r="B7" s="55">
        <v>94</v>
      </c>
      <c r="C7" s="56">
        <v>23</v>
      </c>
      <c r="D7" s="49">
        <v>55</v>
      </c>
      <c r="E7" s="50">
        <v>92</v>
      </c>
      <c r="F7" s="51">
        <v>93</v>
      </c>
      <c r="G7" s="55">
        <f t="shared" si="0"/>
        <v>11</v>
      </c>
      <c r="H7" s="56">
        <f t="shared" si="1"/>
        <v>8</v>
      </c>
      <c r="I7" s="49">
        <f t="shared" si="2"/>
        <v>4</v>
      </c>
      <c r="J7" s="50">
        <f t="shared" si="3"/>
        <v>9</v>
      </c>
      <c r="K7" s="51">
        <f t="shared" si="4"/>
        <v>10</v>
      </c>
      <c r="L7" s="62">
        <v>5</v>
      </c>
      <c r="M7" s="26">
        <f t="shared" si="5"/>
        <v>28</v>
      </c>
      <c r="N7" s="26">
        <f t="shared" si="6"/>
        <v>29</v>
      </c>
      <c r="O7" s="26">
        <f t="shared" si="7"/>
        <v>35</v>
      </c>
      <c r="P7" s="25">
        <f t="shared" si="8"/>
        <v>35</v>
      </c>
      <c r="Q7" s="25">
        <f t="shared" si="9"/>
        <v>1</v>
      </c>
      <c r="R7" s="6">
        <f t="shared" si="10"/>
        <v>0</v>
      </c>
      <c r="S7" s="14">
        <f t="shared" si="11"/>
        <v>0</v>
      </c>
      <c r="T7" s="7">
        <f t="shared" si="12"/>
        <v>1</v>
      </c>
      <c r="V7" s="20" t="s">
        <v>18</v>
      </c>
      <c r="W7" s="15" t="s">
        <v>19</v>
      </c>
      <c r="X7" s="24" t="s">
        <v>20</v>
      </c>
    </row>
    <row r="8" spans="1:50">
      <c r="A8" s="6">
        <v>6</v>
      </c>
      <c r="B8" s="55">
        <v>97</v>
      </c>
      <c r="C8" s="56">
        <v>16</v>
      </c>
      <c r="D8" s="49">
        <v>94</v>
      </c>
      <c r="E8" s="50">
        <v>52</v>
      </c>
      <c r="F8" s="51">
        <v>94</v>
      </c>
      <c r="G8" s="55">
        <f t="shared" si="0"/>
        <v>11</v>
      </c>
      <c r="H8" s="56">
        <f t="shared" si="1"/>
        <v>8</v>
      </c>
      <c r="I8" s="49">
        <f t="shared" si="2"/>
        <v>4</v>
      </c>
      <c r="J8" s="50">
        <f t="shared" si="3"/>
        <v>4</v>
      </c>
      <c r="K8" s="51">
        <f t="shared" si="4"/>
        <v>10</v>
      </c>
      <c r="L8" s="62">
        <v>5</v>
      </c>
      <c r="M8" s="26">
        <f t="shared" si="5"/>
        <v>28</v>
      </c>
      <c r="N8" s="26">
        <f t="shared" si="6"/>
        <v>24</v>
      </c>
      <c r="O8" s="26">
        <f t="shared" si="7"/>
        <v>30</v>
      </c>
      <c r="P8" s="25">
        <f t="shared" si="8"/>
        <v>30</v>
      </c>
      <c r="Q8" s="25">
        <f t="shared" si="9"/>
        <v>1</v>
      </c>
      <c r="R8" s="6">
        <f t="shared" si="10"/>
        <v>0</v>
      </c>
      <c r="S8" s="14">
        <f t="shared" si="11"/>
        <v>0</v>
      </c>
      <c r="T8" s="7">
        <f t="shared" si="12"/>
        <v>1</v>
      </c>
    </row>
    <row r="9" spans="1:50">
      <c r="A9" s="6">
        <v>7</v>
      </c>
      <c r="B9" s="55">
        <v>74</v>
      </c>
      <c r="C9" s="56">
        <v>49</v>
      </c>
      <c r="D9" s="49">
        <v>36</v>
      </c>
      <c r="E9" s="50">
        <v>94</v>
      </c>
      <c r="F9" s="51">
        <v>15</v>
      </c>
      <c r="G9" s="55">
        <f t="shared" si="0"/>
        <v>8</v>
      </c>
      <c r="H9" s="56">
        <f t="shared" si="1"/>
        <v>10</v>
      </c>
      <c r="I9" s="49">
        <f t="shared" si="2"/>
        <v>2</v>
      </c>
      <c r="J9" s="50">
        <f t="shared" si="3"/>
        <v>9</v>
      </c>
      <c r="K9" s="51">
        <f t="shared" si="4"/>
        <v>2</v>
      </c>
      <c r="L9" s="62">
        <v>5</v>
      </c>
      <c r="M9" s="26">
        <f t="shared" si="5"/>
        <v>25</v>
      </c>
      <c r="N9" s="26">
        <f t="shared" si="6"/>
        <v>24</v>
      </c>
      <c r="O9" s="26">
        <f t="shared" si="7"/>
        <v>24</v>
      </c>
      <c r="P9" s="25">
        <f t="shared" si="8"/>
        <v>25</v>
      </c>
      <c r="Q9" s="25">
        <f t="shared" si="9"/>
        <v>0</v>
      </c>
      <c r="R9" s="6">
        <f t="shared" si="10"/>
        <v>1</v>
      </c>
      <c r="S9" s="14">
        <f t="shared" si="11"/>
        <v>0</v>
      </c>
      <c r="T9" s="7">
        <f t="shared" si="12"/>
        <v>0</v>
      </c>
      <c r="V9" s="53" t="s">
        <v>38</v>
      </c>
      <c r="W9" s="53"/>
      <c r="X9" s="53"/>
      <c r="Y9" s="76">
        <f>AVERAGE(P3:P12)</f>
        <v>26.6</v>
      </c>
    </row>
    <row r="10" spans="1:50">
      <c r="A10" s="6">
        <v>8</v>
      </c>
      <c r="B10" s="55">
        <v>0</v>
      </c>
      <c r="C10" s="56">
        <v>94</v>
      </c>
      <c r="D10" s="49">
        <v>76</v>
      </c>
      <c r="E10" s="50">
        <v>88</v>
      </c>
      <c r="F10" s="51">
        <v>78</v>
      </c>
      <c r="G10" s="55">
        <f t="shared" si="0"/>
        <v>4</v>
      </c>
      <c r="H10" s="56">
        <f t="shared" si="1"/>
        <v>12</v>
      </c>
      <c r="I10" s="49">
        <f t="shared" si="2"/>
        <v>4</v>
      </c>
      <c r="J10" s="50">
        <f t="shared" si="3"/>
        <v>9</v>
      </c>
      <c r="K10" s="51">
        <f t="shared" si="4"/>
        <v>10</v>
      </c>
      <c r="L10" s="62">
        <v>5</v>
      </c>
      <c r="M10" s="26">
        <f t="shared" si="5"/>
        <v>25</v>
      </c>
      <c r="N10" s="26">
        <f t="shared" si="6"/>
        <v>22</v>
      </c>
      <c r="O10" s="26">
        <f t="shared" si="7"/>
        <v>28</v>
      </c>
      <c r="P10" s="25">
        <f t="shared" si="8"/>
        <v>28</v>
      </c>
      <c r="Q10" s="25">
        <f t="shared" si="9"/>
        <v>1</v>
      </c>
      <c r="R10" s="6">
        <f t="shared" si="10"/>
        <v>0</v>
      </c>
      <c r="S10" s="14">
        <f t="shared" si="11"/>
        <v>0</v>
      </c>
      <c r="T10" s="7">
        <f t="shared" si="12"/>
        <v>1</v>
      </c>
      <c r="V10" s="53" t="s">
        <v>39</v>
      </c>
      <c r="Y10">
        <f>AVERAGE(R3:R12)*100</f>
        <v>40</v>
      </c>
    </row>
    <row r="11" spans="1:50">
      <c r="A11" s="6">
        <v>9</v>
      </c>
      <c r="B11" s="55">
        <v>14</v>
      </c>
      <c r="C11" s="56">
        <v>10</v>
      </c>
      <c r="D11" s="49">
        <v>12</v>
      </c>
      <c r="E11" s="50">
        <v>0</v>
      </c>
      <c r="F11" s="51">
        <v>10</v>
      </c>
      <c r="G11" s="55">
        <f t="shared" si="0"/>
        <v>4</v>
      </c>
      <c r="H11" s="56">
        <f t="shared" si="1"/>
        <v>8</v>
      </c>
      <c r="I11" s="49">
        <f t="shared" si="2"/>
        <v>2</v>
      </c>
      <c r="J11" s="50">
        <f t="shared" si="3"/>
        <v>4</v>
      </c>
      <c r="K11" s="51">
        <f t="shared" si="4"/>
        <v>2</v>
      </c>
      <c r="L11" s="62">
        <v>5</v>
      </c>
      <c r="M11" s="26">
        <f t="shared" si="5"/>
        <v>19</v>
      </c>
      <c r="N11" s="26">
        <f t="shared" si="6"/>
        <v>15</v>
      </c>
      <c r="O11" s="26">
        <f t="shared" si="7"/>
        <v>15</v>
      </c>
      <c r="P11" s="25">
        <f t="shared" si="8"/>
        <v>19</v>
      </c>
      <c r="Q11" s="25">
        <f t="shared" si="9"/>
        <v>0</v>
      </c>
      <c r="R11" s="6">
        <f t="shared" si="10"/>
        <v>1</v>
      </c>
      <c r="S11" s="14">
        <f t="shared" si="11"/>
        <v>0</v>
      </c>
      <c r="T11" s="7">
        <f t="shared" si="12"/>
        <v>0</v>
      </c>
      <c r="V11" s="53" t="s">
        <v>40</v>
      </c>
      <c r="Y11">
        <f>AVERAGE(S3:S12)*100</f>
        <v>0</v>
      </c>
    </row>
    <row r="12" spans="1:50">
      <c r="A12" s="8">
        <v>10</v>
      </c>
      <c r="B12" s="57">
        <v>56</v>
      </c>
      <c r="C12" s="58">
        <v>58</v>
      </c>
      <c r="D12" s="59">
        <v>25</v>
      </c>
      <c r="E12" s="60">
        <v>43</v>
      </c>
      <c r="F12" s="63">
        <v>51</v>
      </c>
      <c r="G12" s="57">
        <f t="shared" si="0"/>
        <v>8</v>
      </c>
      <c r="H12" s="58">
        <f t="shared" si="1"/>
        <v>10</v>
      </c>
      <c r="I12" s="59">
        <f t="shared" si="2"/>
        <v>2</v>
      </c>
      <c r="J12" s="60">
        <f t="shared" si="3"/>
        <v>4</v>
      </c>
      <c r="K12" s="63">
        <f t="shared" si="4"/>
        <v>10</v>
      </c>
      <c r="L12" s="64">
        <v>5</v>
      </c>
      <c r="M12" s="54">
        <f t="shared" si="5"/>
        <v>25</v>
      </c>
      <c r="N12" s="54">
        <f t="shared" si="6"/>
        <v>19</v>
      </c>
      <c r="O12" s="54">
        <f t="shared" si="7"/>
        <v>27</v>
      </c>
      <c r="P12" s="30">
        <f t="shared" si="8"/>
        <v>27</v>
      </c>
      <c r="Q12" s="30">
        <f t="shared" si="9"/>
        <v>0</v>
      </c>
      <c r="R12" s="8">
        <f t="shared" si="10"/>
        <v>0</v>
      </c>
      <c r="S12" s="15">
        <f t="shared" si="11"/>
        <v>0</v>
      </c>
      <c r="T12" s="9">
        <f t="shared" si="12"/>
        <v>1</v>
      </c>
      <c r="V12" s="53" t="s">
        <v>41</v>
      </c>
      <c r="Y12">
        <f>AVERAGE(T3:T12)*100</f>
        <v>70</v>
      </c>
    </row>
    <row r="15" spans="1:50" s="40" customFormat="1">
      <c r="V15"/>
    </row>
  </sheetData>
  <mergeCells count="12">
    <mergeCell ref="AT1:AX1"/>
    <mergeCell ref="R1:T1"/>
    <mergeCell ref="A1:A2"/>
    <mergeCell ref="Q1:Q2"/>
    <mergeCell ref="AB2:AC2"/>
    <mergeCell ref="AE1:AH1"/>
    <mergeCell ref="AJ1:AN1"/>
    <mergeCell ref="AO1:AS1"/>
    <mergeCell ref="B1:F1"/>
    <mergeCell ref="G1:L1"/>
    <mergeCell ref="M1:O1"/>
    <mergeCell ref="P1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Mary Kate Anecito</cp:lastModifiedBy>
  <cp:revision/>
  <dcterms:created xsi:type="dcterms:W3CDTF">2025-08-17T04:06:40Z</dcterms:created>
  <dcterms:modified xsi:type="dcterms:W3CDTF">2025-08-17T08:58:04Z</dcterms:modified>
  <cp:category/>
  <cp:contentStatus/>
</cp:coreProperties>
</file>