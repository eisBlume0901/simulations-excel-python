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" sheetId="1" r:id="rId4"/>
  </sheets>
  <definedNames/>
  <calcPr/>
</workbook>
</file>

<file path=xl/sharedStrings.xml><?xml version="1.0" encoding="utf-8"?>
<sst xmlns="http://schemas.openxmlformats.org/spreadsheetml/2006/main" count="23" uniqueCount="14">
  <si>
    <t>Day</t>
  </si>
  <si>
    <t>Demand</t>
  </si>
  <si>
    <t>Beginning Inventory</t>
  </si>
  <si>
    <t>Ending Inventory</t>
  </si>
  <si>
    <t>Reorder?</t>
  </si>
  <si>
    <t>Order Qty.</t>
  </si>
  <si>
    <t>Lead Time</t>
  </si>
  <si>
    <t>Order Cost</t>
  </si>
  <si>
    <t>Purchase Cost</t>
  </si>
  <si>
    <t>Stock/Holding Cost</t>
  </si>
  <si>
    <t>Shortage Cost</t>
  </si>
  <si>
    <t>NO</t>
  </si>
  <si>
    <t>Total Cost</t>
  </si>
  <si>
    <t>Percentage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</si>
</sst>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7.25"/>
    <col customWidth="1" min="3" max="3" width="10.75"/>
    <col customWidth="1" min="4" max="4" width="8.63"/>
    <col customWidth="1" min="5" max="5" width="8.0"/>
    <col customWidth="1" min="6" max="6" width="8.63"/>
    <col customWidth="1" min="7" max="7" width="5.63"/>
    <col customWidth="1" min="8" max="8" width="7.25"/>
    <col customWidth="1" min="9" max="9" width="8.63"/>
    <col customWidth="1" min="10" max="10" width="12.63"/>
    <col customWidth="1" min="11" max="11" width="10.25"/>
  </cols>
  <sheetData>
    <row r="1">
      <c r="A1" s="1"/>
      <c r="B1" s="1"/>
      <c r="C1" s="2">
        <v>80.0</v>
      </c>
      <c r="D1" s="1"/>
      <c r="E1" s="2">
        <v>30.0</v>
      </c>
      <c r="F1" s="2">
        <v>40.0</v>
      </c>
      <c r="G1" s="2">
        <v>2.0</v>
      </c>
      <c r="H1" s="2">
        <v>50.0</v>
      </c>
      <c r="I1" s="2">
        <v>10.0</v>
      </c>
      <c r="J1" s="2">
        <v>2.0</v>
      </c>
      <c r="K1" s="2">
        <v>10.0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1.0</v>
      </c>
      <c r="B3" s="5">
        <v>11.0</v>
      </c>
      <c r="C3" s="5">
        <v>80.0</v>
      </c>
      <c r="D3" s="6">
        <f t="shared" ref="D3:D27" si="1">C3-B3</f>
        <v>69</v>
      </c>
      <c r="E3" s="6" t="str">
        <f t="shared" ref="E3:E8" si="2">IF(D3&lt;=$E$1, "YES", "NO")</f>
        <v>NO</v>
      </c>
      <c r="F3" s="6" t="str">
        <f t="shared" ref="F3:F27" si="3">IF(E3="YES", $F$1, "")</f>
        <v/>
      </c>
      <c r="H3" s="6" t="str">
        <f t="shared" ref="H3:H27" si="4">IF(E3="YES", $H$1, "")</f>
        <v/>
      </c>
      <c r="I3" s="6" t="str">
        <f t="shared" ref="I3:I27" si="5">IF(E3="YES", $F$1*$I$1, "")</f>
        <v/>
      </c>
      <c r="J3" s="6">
        <f t="shared" ref="J3:J27" si="6">IF(D3&gt;0, D3*$J$1, "")</f>
        <v>138</v>
      </c>
      <c r="K3" s="6" t="str">
        <f t="shared" ref="K3:K27" si="7">IF(D3&lt;0, ABS(D3)*$K$1, "")</f>
        <v/>
      </c>
    </row>
    <row r="4">
      <c r="A4" s="5">
        <v>2.0</v>
      </c>
      <c r="B4" s="5">
        <v>11.0</v>
      </c>
      <c r="C4" s="6">
        <f t="shared" ref="C4:C10" si="8">D3</f>
        <v>69</v>
      </c>
      <c r="D4" s="6">
        <f t="shared" si="1"/>
        <v>58</v>
      </c>
      <c r="E4" s="6" t="str">
        <f t="shared" si="2"/>
        <v>NO</v>
      </c>
      <c r="F4" s="6" t="str">
        <f t="shared" si="3"/>
        <v/>
      </c>
      <c r="H4" s="6" t="str">
        <f t="shared" si="4"/>
        <v/>
      </c>
      <c r="I4" s="6" t="str">
        <f t="shared" si="5"/>
        <v/>
      </c>
      <c r="J4" s="6">
        <f t="shared" si="6"/>
        <v>116</v>
      </c>
      <c r="K4" s="6" t="str">
        <f t="shared" si="7"/>
        <v/>
      </c>
    </row>
    <row r="5">
      <c r="A5" s="5">
        <v>3.0</v>
      </c>
      <c r="B5" s="5">
        <v>9.0</v>
      </c>
      <c r="C5" s="6">
        <f t="shared" si="8"/>
        <v>58</v>
      </c>
      <c r="D5" s="6">
        <f t="shared" si="1"/>
        <v>49</v>
      </c>
      <c r="E5" s="6" t="str">
        <f t="shared" si="2"/>
        <v>NO</v>
      </c>
      <c r="F5" s="6" t="str">
        <f t="shared" si="3"/>
        <v/>
      </c>
      <c r="H5" s="6" t="str">
        <f t="shared" si="4"/>
        <v/>
      </c>
      <c r="I5" s="6" t="str">
        <f t="shared" si="5"/>
        <v/>
      </c>
      <c r="J5" s="6">
        <f t="shared" si="6"/>
        <v>98</v>
      </c>
      <c r="K5" s="6" t="str">
        <f t="shared" si="7"/>
        <v/>
      </c>
    </row>
    <row r="6">
      <c r="A6" s="5">
        <v>4.0</v>
      </c>
      <c r="B6" s="5">
        <v>8.0</v>
      </c>
      <c r="C6" s="6">
        <f t="shared" si="8"/>
        <v>49</v>
      </c>
      <c r="D6" s="6">
        <f t="shared" si="1"/>
        <v>41</v>
      </c>
      <c r="E6" s="6" t="str">
        <f t="shared" si="2"/>
        <v>NO</v>
      </c>
      <c r="F6" s="6" t="str">
        <f t="shared" si="3"/>
        <v/>
      </c>
      <c r="H6" s="6" t="str">
        <f t="shared" si="4"/>
        <v/>
      </c>
      <c r="I6" s="6" t="str">
        <f t="shared" si="5"/>
        <v/>
      </c>
      <c r="J6" s="6">
        <f t="shared" si="6"/>
        <v>82</v>
      </c>
      <c r="K6" s="6" t="str">
        <f t="shared" si="7"/>
        <v/>
      </c>
    </row>
    <row r="7">
      <c r="A7" s="5">
        <v>5.0</v>
      </c>
      <c r="B7" s="5">
        <v>10.0</v>
      </c>
      <c r="C7" s="6">
        <f t="shared" si="8"/>
        <v>41</v>
      </c>
      <c r="D7" s="6">
        <f t="shared" si="1"/>
        <v>31</v>
      </c>
      <c r="E7" s="6" t="str">
        <f t="shared" si="2"/>
        <v>NO</v>
      </c>
      <c r="F7" s="6" t="str">
        <f t="shared" si="3"/>
        <v/>
      </c>
      <c r="H7" s="6" t="str">
        <f t="shared" si="4"/>
        <v/>
      </c>
      <c r="I7" s="6" t="str">
        <f t="shared" si="5"/>
        <v/>
      </c>
      <c r="J7" s="6">
        <f t="shared" si="6"/>
        <v>62</v>
      </c>
      <c r="K7" s="6" t="str">
        <f t="shared" si="7"/>
        <v/>
      </c>
    </row>
    <row r="8">
      <c r="A8" s="7">
        <v>6.0</v>
      </c>
      <c r="B8" s="7">
        <v>11.0</v>
      </c>
      <c r="C8" s="8">
        <f t="shared" si="8"/>
        <v>31</v>
      </c>
      <c r="D8" s="8">
        <f t="shared" si="1"/>
        <v>20</v>
      </c>
      <c r="E8" s="8" t="str">
        <f t="shared" si="2"/>
        <v>YES</v>
      </c>
      <c r="F8" s="8">
        <f t="shared" si="3"/>
        <v>40</v>
      </c>
      <c r="G8" s="7">
        <v>2.0</v>
      </c>
      <c r="H8" s="8">
        <f t="shared" si="4"/>
        <v>50</v>
      </c>
      <c r="I8" s="8">
        <f t="shared" si="5"/>
        <v>400</v>
      </c>
      <c r="J8" s="8">
        <f t="shared" si="6"/>
        <v>40</v>
      </c>
      <c r="K8" s="8" t="str">
        <f t="shared" si="7"/>
        <v/>
      </c>
    </row>
    <row r="9">
      <c r="A9" s="5">
        <v>7.0</v>
      </c>
      <c r="B9" s="5">
        <v>10.0</v>
      </c>
      <c r="C9" s="6">
        <f t="shared" si="8"/>
        <v>20</v>
      </c>
      <c r="D9" s="6">
        <f t="shared" si="1"/>
        <v>10</v>
      </c>
      <c r="E9" s="5" t="s">
        <v>11</v>
      </c>
      <c r="F9" s="6" t="str">
        <f t="shared" si="3"/>
        <v/>
      </c>
      <c r="G9" s="5">
        <v>1.0</v>
      </c>
      <c r="H9" s="6" t="str">
        <f t="shared" si="4"/>
        <v/>
      </c>
      <c r="I9" s="6" t="str">
        <f t="shared" si="5"/>
        <v/>
      </c>
      <c r="J9" s="6">
        <f t="shared" si="6"/>
        <v>20</v>
      </c>
      <c r="K9" s="6" t="str">
        <f t="shared" si="7"/>
        <v/>
      </c>
    </row>
    <row r="10">
      <c r="A10" s="5">
        <v>8.0</v>
      </c>
      <c r="B10" s="5">
        <v>11.0</v>
      </c>
      <c r="C10" s="6">
        <f t="shared" si="8"/>
        <v>10</v>
      </c>
      <c r="D10" s="6">
        <f t="shared" si="1"/>
        <v>-1</v>
      </c>
      <c r="E10" s="5" t="s">
        <v>11</v>
      </c>
      <c r="F10" s="6" t="str">
        <f t="shared" si="3"/>
        <v/>
      </c>
      <c r="G10" s="5">
        <v>0.0</v>
      </c>
      <c r="H10" s="6" t="str">
        <f t="shared" si="4"/>
        <v/>
      </c>
      <c r="I10" s="6" t="str">
        <f t="shared" si="5"/>
        <v/>
      </c>
      <c r="J10" s="6" t="str">
        <f t="shared" si="6"/>
        <v/>
      </c>
      <c r="K10" s="6">
        <f t="shared" si="7"/>
        <v>10</v>
      </c>
    </row>
    <row r="11">
      <c r="A11" s="7">
        <v>9.0</v>
      </c>
      <c r="B11" s="7">
        <v>12.0</v>
      </c>
      <c r="C11" s="8">
        <f>D10+F8</f>
        <v>39</v>
      </c>
      <c r="D11" s="8">
        <f t="shared" si="1"/>
        <v>27</v>
      </c>
      <c r="E11" s="8" t="str">
        <f>IF(D11&lt;=$E$1, "YES", "NO")</f>
        <v>YES</v>
      </c>
      <c r="F11" s="8">
        <f t="shared" si="3"/>
        <v>40</v>
      </c>
      <c r="G11" s="7">
        <v>2.0</v>
      </c>
      <c r="H11" s="8">
        <f t="shared" si="4"/>
        <v>50</v>
      </c>
      <c r="I11" s="8">
        <f t="shared" si="5"/>
        <v>400</v>
      </c>
      <c r="J11" s="8">
        <f t="shared" si="6"/>
        <v>54</v>
      </c>
      <c r="K11" s="8" t="str">
        <f t="shared" si="7"/>
        <v/>
      </c>
    </row>
    <row r="12">
      <c r="A12" s="5">
        <v>10.0</v>
      </c>
      <c r="B12" s="5">
        <v>10.0</v>
      </c>
      <c r="C12" s="6">
        <f t="shared" ref="C12:C13" si="9">D11</f>
        <v>27</v>
      </c>
      <c r="D12" s="6">
        <f t="shared" si="1"/>
        <v>17</v>
      </c>
      <c r="E12" s="5" t="s">
        <v>11</v>
      </c>
      <c r="F12" s="6" t="str">
        <f t="shared" si="3"/>
        <v/>
      </c>
      <c r="G12" s="5">
        <v>1.0</v>
      </c>
      <c r="H12" s="6" t="str">
        <f t="shared" si="4"/>
        <v/>
      </c>
      <c r="I12" s="6" t="str">
        <f t="shared" si="5"/>
        <v/>
      </c>
      <c r="J12" s="6">
        <f t="shared" si="6"/>
        <v>34</v>
      </c>
      <c r="K12" s="6" t="str">
        <f t="shared" si="7"/>
        <v/>
      </c>
    </row>
    <row r="13">
      <c r="A13" s="5">
        <v>11.0</v>
      </c>
      <c r="B13" s="5">
        <v>12.0</v>
      </c>
      <c r="C13" s="6">
        <f t="shared" si="9"/>
        <v>17</v>
      </c>
      <c r="D13" s="6">
        <f t="shared" si="1"/>
        <v>5</v>
      </c>
      <c r="E13" s="5" t="s">
        <v>11</v>
      </c>
      <c r="F13" s="6" t="str">
        <f t="shared" si="3"/>
        <v/>
      </c>
      <c r="G13" s="5">
        <v>0.0</v>
      </c>
      <c r="H13" s="6" t="str">
        <f t="shared" si="4"/>
        <v/>
      </c>
      <c r="I13" s="6" t="str">
        <f t="shared" si="5"/>
        <v/>
      </c>
      <c r="J13" s="6">
        <f t="shared" si="6"/>
        <v>10</v>
      </c>
      <c r="K13" s="6" t="str">
        <f t="shared" si="7"/>
        <v/>
      </c>
    </row>
    <row r="14">
      <c r="A14" s="9">
        <v>12.0</v>
      </c>
      <c r="B14" s="9">
        <v>8.0</v>
      </c>
      <c r="C14" s="10">
        <f>D13+F11</f>
        <v>45</v>
      </c>
      <c r="D14" s="10">
        <f t="shared" si="1"/>
        <v>37</v>
      </c>
      <c r="E14" s="10" t="str">
        <f t="shared" ref="E14:E15" si="10">IF(D14&lt;=$E$1, "YES", "NO")</f>
        <v>NO</v>
      </c>
      <c r="F14" s="10" t="str">
        <f t="shared" si="3"/>
        <v/>
      </c>
      <c r="G14" s="10"/>
      <c r="H14" s="10" t="str">
        <f t="shared" si="4"/>
        <v/>
      </c>
      <c r="I14" s="10" t="str">
        <f t="shared" si="5"/>
        <v/>
      </c>
      <c r="J14" s="10">
        <f t="shared" si="6"/>
        <v>74</v>
      </c>
      <c r="K14" s="10" t="str">
        <f t="shared" si="7"/>
        <v/>
      </c>
    </row>
    <row r="15">
      <c r="A15" s="5">
        <v>13.0</v>
      </c>
      <c r="B15" s="5">
        <v>11.0</v>
      </c>
      <c r="C15" s="6">
        <f t="shared" ref="C15:C17" si="11">D14</f>
        <v>37</v>
      </c>
      <c r="D15" s="6">
        <f t="shared" si="1"/>
        <v>26</v>
      </c>
      <c r="E15" s="6" t="str">
        <f t="shared" si="10"/>
        <v>YES</v>
      </c>
      <c r="F15" s="6">
        <f t="shared" si="3"/>
        <v>40</v>
      </c>
      <c r="G15" s="5">
        <v>2.0</v>
      </c>
      <c r="H15" s="6">
        <f t="shared" si="4"/>
        <v>50</v>
      </c>
      <c r="I15" s="6">
        <f t="shared" si="5"/>
        <v>400</v>
      </c>
      <c r="J15" s="6">
        <f t="shared" si="6"/>
        <v>52</v>
      </c>
      <c r="K15" s="6" t="str">
        <f t="shared" si="7"/>
        <v/>
      </c>
    </row>
    <row r="16">
      <c r="A16" s="5">
        <v>14.0</v>
      </c>
      <c r="B16" s="5">
        <v>9.0</v>
      </c>
      <c r="C16" s="6">
        <f t="shared" si="11"/>
        <v>26</v>
      </c>
      <c r="D16" s="6">
        <f t="shared" si="1"/>
        <v>17</v>
      </c>
      <c r="E16" s="5" t="s">
        <v>11</v>
      </c>
      <c r="F16" s="6" t="str">
        <f t="shared" si="3"/>
        <v/>
      </c>
      <c r="G16" s="5">
        <v>1.0</v>
      </c>
      <c r="H16" s="6" t="str">
        <f t="shared" si="4"/>
        <v/>
      </c>
      <c r="I16" s="6" t="str">
        <f t="shared" si="5"/>
        <v/>
      </c>
      <c r="J16" s="6">
        <f t="shared" si="6"/>
        <v>34</v>
      </c>
      <c r="K16" s="6" t="str">
        <f t="shared" si="7"/>
        <v/>
      </c>
    </row>
    <row r="17">
      <c r="A17" s="5">
        <v>15.0</v>
      </c>
      <c r="B17" s="5">
        <v>12.0</v>
      </c>
      <c r="C17" s="6">
        <f t="shared" si="11"/>
        <v>17</v>
      </c>
      <c r="D17" s="6">
        <f t="shared" si="1"/>
        <v>5</v>
      </c>
      <c r="E17" s="5" t="s">
        <v>11</v>
      </c>
      <c r="F17" s="6" t="str">
        <f t="shared" si="3"/>
        <v/>
      </c>
      <c r="G17" s="5">
        <v>0.0</v>
      </c>
      <c r="H17" s="6" t="str">
        <f t="shared" si="4"/>
        <v/>
      </c>
      <c r="I17" s="6" t="str">
        <f t="shared" si="5"/>
        <v/>
      </c>
      <c r="J17" s="6">
        <f t="shared" si="6"/>
        <v>10</v>
      </c>
      <c r="K17" s="6" t="str">
        <f t="shared" si="7"/>
        <v/>
      </c>
    </row>
    <row r="18">
      <c r="A18" s="9">
        <v>16.0</v>
      </c>
      <c r="B18" s="9">
        <v>12.0</v>
      </c>
      <c r="C18" s="10">
        <f>D17+F15</f>
        <v>45</v>
      </c>
      <c r="D18" s="10">
        <f t="shared" si="1"/>
        <v>33</v>
      </c>
      <c r="E18" s="10" t="str">
        <f t="shared" ref="E18:E19" si="12">IF(D18&lt;=$E$1, "YES", "NO")</f>
        <v>NO</v>
      </c>
      <c r="F18" s="10" t="str">
        <f t="shared" si="3"/>
        <v/>
      </c>
      <c r="G18" s="10"/>
      <c r="H18" s="10" t="str">
        <f t="shared" si="4"/>
        <v/>
      </c>
      <c r="I18" s="10" t="str">
        <f t="shared" si="5"/>
        <v/>
      </c>
      <c r="J18" s="10">
        <f t="shared" si="6"/>
        <v>66</v>
      </c>
      <c r="K18" s="10" t="str">
        <f t="shared" si="7"/>
        <v/>
      </c>
    </row>
    <row r="19">
      <c r="A19" s="7">
        <v>17.0</v>
      </c>
      <c r="B19" s="7">
        <v>8.0</v>
      </c>
      <c r="C19" s="8">
        <f t="shared" ref="C19:C21" si="13">D18</f>
        <v>33</v>
      </c>
      <c r="D19" s="8">
        <f t="shared" si="1"/>
        <v>25</v>
      </c>
      <c r="E19" s="8" t="str">
        <f t="shared" si="12"/>
        <v>YES</v>
      </c>
      <c r="F19" s="8">
        <f t="shared" si="3"/>
        <v>40</v>
      </c>
      <c r="G19" s="7">
        <v>2.0</v>
      </c>
      <c r="H19" s="8">
        <f t="shared" si="4"/>
        <v>50</v>
      </c>
      <c r="I19" s="8">
        <f t="shared" si="5"/>
        <v>400</v>
      </c>
      <c r="J19" s="8">
        <f t="shared" si="6"/>
        <v>50</v>
      </c>
      <c r="K19" s="8" t="str">
        <f t="shared" si="7"/>
        <v/>
      </c>
    </row>
    <row r="20">
      <c r="A20" s="5">
        <v>18.0</v>
      </c>
      <c r="B20" s="5">
        <v>8.0</v>
      </c>
      <c r="C20" s="6">
        <f t="shared" si="13"/>
        <v>25</v>
      </c>
      <c r="D20" s="6">
        <f t="shared" si="1"/>
        <v>17</v>
      </c>
      <c r="E20" s="5" t="s">
        <v>11</v>
      </c>
      <c r="F20" s="6" t="str">
        <f t="shared" si="3"/>
        <v/>
      </c>
      <c r="G20" s="5">
        <v>1.0</v>
      </c>
      <c r="H20" s="6" t="str">
        <f t="shared" si="4"/>
        <v/>
      </c>
      <c r="I20" s="6" t="str">
        <f t="shared" si="5"/>
        <v/>
      </c>
      <c r="J20" s="6">
        <f t="shared" si="6"/>
        <v>34</v>
      </c>
      <c r="K20" s="6" t="str">
        <f t="shared" si="7"/>
        <v/>
      </c>
    </row>
    <row r="21">
      <c r="A21" s="5">
        <v>19.0</v>
      </c>
      <c r="B21" s="5">
        <v>10.0</v>
      </c>
      <c r="C21" s="6">
        <f t="shared" si="13"/>
        <v>17</v>
      </c>
      <c r="D21" s="6">
        <f t="shared" si="1"/>
        <v>7</v>
      </c>
      <c r="E21" s="5" t="s">
        <v>11</v>
      </c>
      <c r="F21" s="6" t="str">
        <f t="shared" si="3"/>
        <v/>
      </c>
      <c r="G21" s="5">
        <v>0.0</v>
      </c>
      <c r="H21" s="6" t="str">
        <f t="shared" si="4"/>
        <v/>
      </c>
      <c r="I21" s="6" t="str">
        <f t="shared" si="5"/>
        <v/>
      </c>
      <c r="J21" s="6">
        <f t="shared" si="6"/>
        <v>14</v>
      </c>
      <c r="K21" s="6" t="str">
        <f t="shared" si="7"/>
        <v/>
      </c>
    </row>
    <row r="22">
      <c r="A22" s="9">
        <v>20.0</v>
      </c>
      <c r="B22" s="9">
        <v>12.0</v>
      </c>
      <c r="C22" s="10">
        <f>D21+F19</f>
        <v>47</v>
      </c>
      <c r="D22" s="10">
        <f t="shared" si="1"/>
        <v>35</v>
      </c>
      <c r="E22" s="10" t="str">
        <f t="shared" ref="E22:E23" si="14">IF(D22&lt;=$E$1, "YES", "NO")</f>
        <v>NO</v>
      </c>
      <c r="F22" s="10" t="str">
        <f t="shared" si="3"/>
        <v/>
      </c>
      <c r="G22" s="10"/>
      <c r="H22" s="10" t="str">
        <f t="shared" si="4"/>
        <v/>
      </c>
      <c r="I22" s="10" t="str">
        <f t="shared" si="5"/>
        <v/>
      </c>
      <c r="J22" s="10">
        <f t="shared" si="6"/>
        <v>70</v>
      </c>
      <c r="K22" s="10" t="str">
        <f t="shared" si="7"/>
        <v/>
      </c>
    </row>
    <row r="23">
      <c r="A23" s="7">
        <v>21.0</v>
      </c>
      <c r="B23" s="7">
        <v>12.0</v>
      </c>
      <c r="C23" s="8">
        <f t="shared" ref="C23:C25" si="15">D22</f>
        <v>35</v>
      </c>
      <c r="D23" s="8">
        <f t="shared" si="1"/>
        <v>23</v>
      </c>
      <c r="E23" s="8" t="str">
        <f t="shared" si="14"/>
        <v>YES</v>
      </c>
      <c r="F23" s="8">
        <f t="shared" si="3"/>
        <v>40</v>
      </c>
      <c r="G23" s="7">
        <v>2.0</v>
      </c>
      <c r="H23" s="8">
        <f t="shared" si="4"/>
        <v>50</v>
      </c>
      <c r="I23" s="8">
        <f t="shared" si="5"/>
        <v>400</v>
      </c>
      <c r="J23" s="8">
        <f t="shared" si="6"/>
        <v>46</v>
      </c>
      <c r="K23" s="8" t="str">
        <f t="shared" si="7"/>
        <v/>
      </c>
    </row>
    <row r="24">
      <c r="A24" s="5">
        <v>22.0</v>
      </c>
      <c r="B24" s="5">
        <v>10.0</v>
      </c>
      <c r="C24" s="6">
        <f t="shared" si="15"/>
        <v>23</v>
      </c>
      <c r="D24" s="6">
        <f t="shared" si="1"/>
        <v>13</v>
      </c>
      <c r="E24" s="5" t="s">
        <v>11</v>
      </c>
      <c r="F24" s="6" t="str">
        <f t="shared" si="3"/>
        <v/>
      </c>
      <c r="G24" s="5">
        <v>1.0</v>
      </c>
      <c r="H24" s="6" t="str">
        <f t="shared" si="4"/>
        <v/>
      </c>
      <c r="I24" s="6" t="str">
        <f t="shared" si="5"/>
        <v/>
      </c>
      <c r="J24" s="6">
        <f t="shared" si="6"/>
        <v>26</v>
      </c>
      <c r="K24" s="6" t="str">
        <f t="shared" si="7"/>
        <v/>
      </c>
    </row>
    <row r="25">
      <c r="A25" s="5">
        <v>23.0</v>
      </c>
      <c r="B25" s="5">
        <v>9.0</v>
      </c>
      <c r="C25" s="6">
        <f t="shared" si="15"/>
        <v>13</v>
      </c>
      <c r="D25" s="6">
        <f t="shared" si="1"/>
        <v>4</v>
      </c>
      <c r="E25" s="5" t="s">
        <v>11</v>
      </c>
      <c r="F25" s="6" t="str">
        <f t="shared" si="3"/>
        <v/>
      </c>
      <c r="G25" s="5">
        <v>0.0</v>
      </c>
      <c r="H25" s="6" t="str">
        <f t="shared" si="4"/>
        <v/>
      </c>
      <c r="I25" s="6" t="str">
        <f t="shared" si="5"/>
        <v/>
      </c>
      <c r="J25" s="6">
        <f t="shared" si="6"/>
        <v>8</v>
      </c>
      <c r="K25" s="6" t="str">
        <f t="shared" si="7"/>
        <v/>
      </c>
    </row>
    <row r="26">
      <c r="A26" s="9">
        <v>24.0</v>
      </c>
      <c r="B26" s="9">
        <v>12.0</v>
      </c>
      <c r="C26" s="10">
        <f>D25+F23</f>
        <v>44</v>
      </c>
      <c r="D26" s="10">
        <f t="shared" si="1"/>
        <v>32</v>
      </c>
      <c r="E26" s="10" t="str">
        <f t="shared" ref="E26:E27" si="16">IF(D26&lt;=$E$1, "YES", "NO")</f>
        <v>NO</v>
      </c>
      <c r="F26" s="10" t="str">
        <f t="shared" si="3"/>
        <v/>
      </c>
      <c r="G26" s="10"/>
      <c r="H26" s="10" t="str">
        <f t="shared" si="4"/>
        <v/>
      </c>
      <c r="I26" s="10" t="str">
        <f t="shared" si="5"/>
        <v/>
      </c>
      <c r="J26" s="10">
        <f t="shared" si="6"/>
        <v>64</v>
      </c>
      <c r="K26" s="10" t="str">
        <f t="shared" si="7"/>
        <v/>
      </c>
    </row>
    <row r="27">
      <c r="A27" s="5">
        <v>25.0</v>
      </c>
      <c r="B27" s="5">
        <v>12.0</v>
      </c>
      <c r="C27" s="6">
        <f>D26</f>
        <v>32</v>
      </c>
      <c r="D27" s="6">
        <f t="shared" si="1"/>
        <v>20</v>
      </c>
      <c r="E27" s="6" t="str">
        <f t="shared" si="16"/>
        <v>YES</v>
      </c>
      <c r="F27" s="6">
        <f t="shared" si="3"/>
        <v>40</v>
      </c>
      <c r="G27" s="5">
        <v>2.0</v>
      </c>
      <c r="H27" s="6">
        <f t="shared" si="4"/>
        <v>50</v>
      </c>
      <c r="I27" s="6">
        <f t="shared" si="5"/>
        <v>400</v>
      </c>
      <c r="J27" s="6">
        <f t="shared" si="6"/>
        <v>40</v>
      </c>
      <c r="K27" s="6" t="str">
        <f t="shared" si="7"/>
        <v/>
      </c>
    </row>
    <row r="28">
      <c r="H28" s="6">
        <f t="shared" ref="H28:K28" si="17">sum(H3:H27)</f>
        <v>300</v>
      </c>
      <c r="I28" s="6">
        <f t="shared" si="17"/>
        <v>2400</v>
      </c>
      <c r="J28" s="6">
        <f t="shared" si="17"/>
        <v>1242</v>
      </c>
      <c r="K28" s="6">
        <f t="shared" si="17"/>
        <v>10</v>
      </c>
      <c r="L28" s="6">
        <f>sum(H28:K28)</f>
        <v>3952</v>
      </c>
      <c r="M28" s="5" t="s">
        <v>12</v>
      </c>
    </row>
    <row r="29">
      <c r="L29" s="6">
        <f>COUNT(J3:J27)/A27 * 100</f>
        <v>96</v>
      </c>
      <c r="M29" s="5" t="s">
        <v>13</v>
      </c>
    </row>
  </sheetData>
  <drawing r:id="rId1"/>
</worksheet>
</file>