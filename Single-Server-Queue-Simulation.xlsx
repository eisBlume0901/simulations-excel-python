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A826C3CD-D6A6-4604-8E29-6D98187BB265}" xr6:coauthVersionLast="47" xr6:coauthVersionMax="47" xr10:uidLastSave="{00000000-0000-0000-0000-000000000000}"/>
  <bookViews>
    <workbookView xWindow="-120" yWindow="-120" windowWidth="29040" windowHeight="15720" xr2:uid="{D56722B3-5211-4084-BEEE-2EFF282A44D2}"/>
  </bookViews>
  <sheets>
    <sheet name="Activity" sheetId="3" r:id="rId1"/>
    <sheet name="Report and Reflection"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0" i="3" l="1"/>
  <c r="I41" i="3"/>
  <c r="I42" i="3"/>
  <c r="I43" i="3"/>
  <c r="I44" i="3"/>
  <c r="I45" i="3"/>
  <c r="I46" i="3"/>
  <c r="I47" i="3"/>
  <c r="I48" i="3"/>
  <c r="I49" i="3"/>
  <c r="I50" i="3"/>
  <c r="I51" i="3"/>
  <c r="I52" i="3"/>
  <c r="I53" i="3"/>
  <c r="I23" i="3"/>
  <c r="I24" i="3"/>
  <c r="I25" i="3"/>
  <c r="I26" i="3"/>
  <c r="I27" i="3"/>
  <c r="I28" i="3"/>
  <c r="I29" i="3"/>
  <c r="I30" i="3"/>
  <c r="I31" i="3"/>
  <c r="I32" i="3"/>
  <c r="I33" i="3"/>
  <c r="I34" i="3"/>
  <c r="I35" i="3"/>
  <c r="I22" i="3"/>
  <c r="I5" i="3"/>
  <c r="I6" i="3"/>
  <c r="I7" i="3"/>
  <c r="I8" i="3"/>
  <c r="I9" i="3"/>
  <c r="I10" i="3"/>
  <c r="I11" i="3"/>
  <c r="I12" i="3"/>
  <c r="I13" i="3"/>
  <c r="I14" i="3"/>
  <c r="I15" i="3"/>
  <c r="I16" i="3"/>
  <c r="I17" i="3"/>
  <c r="I4" i="3"/>
  <c r="L45" i="3"/>
  <c r="L44" i="3"/>
  <c r="L40" i="3"/>
  <c r="L41" i="3"/>
  <c r="L27" i="3"/>
  <c r="L26" i="3"/>
  <c r="L23" i="3"/>
  <c r="L22" i="3"/>
  <c r="L9" i="3"/>
  <c r="L8" i="3"/>
  <c r="L4" i="3"/>
  <c r="L3" i="3"/>
  <c r="L5" i="3"/>
  <c r="E40" i="3"/>
  <c r="F39" i="3"/>
  <c r="C40" i="3"/>
  <c r="C41" i="3" s="1"/>
  <c r="C42" i="3" s="1"/>
  <c r="C43" i="3" s="1"/>
  <c r="B61" i="3"/>
  <c r="B57" i="3"/>
  <c r="D58" i="3"/>
  <c r="D59" i="3"/>
  <c r="D60" i="3"/>
  <c r="D61" i="3"/>
  <c r="D62" i="3"/>
  <c r="D63" i="3"/>
  <c r="D64" i="3"/>
  <c r="D65" i="3"/>
  <c r="D66" i="3"/>
  <c r="D67" i="3"/>
  <c r="D68" i="3"/>
  <c r="D69" i="3"/>
  <c r="D70" i="3"/>
  <c r="D71" i="3"/>
  <c r="D57" i="3"/>
  <c r="B58" i="3"/>
  <c r="C58" i="3" s="1"/>
  <c r="E58" i="3" s="1"/>
  <c r="G58" i="3" s="1"/>
  <c r="B59" i="3"/>
  <c r="B60" i="3"/>
  <c r="B62" i="3"/>
  <c r="B63" i="3"/>
  <c r="B64" i="3"/>
  <c r="B65" i="3"/>
  <c r="B66" i="3"/>
  <c r="B67" i="3"/>
  <c r="B68" i="3"/>
  <c r="B69" i="3"/>
  <c r="B70" i="3"/>
  <c r="B71" i="3"/>
  <c r="G57" i="3"/>
  <c r="G22" i="3"/>
  <c r="C22" i="3"/>
  <c r="H22" i="3" s="1"/>
  <c r="F21" i="3"/>
  <c r="E22" i="3" s="1"/>
  <c r="F22" i="3" s="1"/>
  <c r="C4" i="3"/>
  <c r="C5" i="3" s="1"/>
  <c r="C6" i="3" s="1"/>
  <c r="C7" i="3" s="1"/>
  <c r="C8" i="3" s="1"/>
  <c r="C9" i="3" s="1"/>
  <c r="C10" i="3" s="1"/>
  <c r="C11" i="3" s="1"/>
  <c r="C12" i="3" s="1"/>
  <c r="C13" i="3" s="1"/>
  <c r="C14" i="3" s="1"/>
  <c r="C15" i="3" s="1"/>
  <c r="C16" i="3" s="1"/>
  <c r="C17" i="3" s="1"/>
  <c r="F3" i="3"/>
  <c r="E4" i="3" s="1"/>
  <c r="F4" i="3" s="1"/>
  <c r="I58" i="3" l="1"/>
  <c r="H58" i="3"/>
  <c r="L62" i="3"/>
  <c r="U7" i="5" s="1"/>
  <c r="G40" i="3"/>
  <c r="C44" i="3"/>
  <c r="G5" i="3"/>
  <c r="G4" i="3"/>
  <c r="H4" i="3"/>
  <c r="H40" i="3"/>
  <c r="H5" i="3"/>
  <c r="H6" i="3"/>
  <c r="C59" i="3"/>
  <c r="C60" i="3" s="1"/>
  <c r="C61" i="3" s="1"/>
  <c r="C62" i="3" s="1"/>
  <c r="C23" i="3"/>
  <c r="E23" i="3"/>
  <c r="F23" i="3" s="1"/>
  <c r="E5" i="3"/>
  <c r="F5" i="3" s="1"/>
  <c r="C63" i="3" l="1"/>
  <c r="C64" i="3" s="1"/>
  <c r="C65" i="3" s="1"/>
  <c r="F40" i="3"/>
  <c r="E41" i="3" s="1"/>
  <c r="C45" i="3"/>
  <c r="G6" i="3"/>
  <c r="C24" i="3"/>
  <c r="H23" i="3"/>
  <c r="G23" i="3"/>
  <c r="F58" i="3"/>
  <c r="G24" i="3"/>
  <c r="E24" i="3"/>
  <c r="F24" i="3" s="1"/>
  <c r="E6" i="3"/>
  <c r="F6" i="3" s="1"/>
  <c r="E59" i="3" l="1"/>
  <c r="I59" i="3" s="1"/>
  <c r="H41" i="3"/>
  <c r="G41" i="3"/>
  <c r="C46" i="3"/>
  <c r="G7" i="3"/>
  <c r="H7" i="3"/>
  <c r="C25" i="3"/>
  <c r="H24" i="3"/>
  <c r="H59" i="3"/>
  <c r="C66" i="3"/>
  <c r="E25" i="3"/>
  <c r="F25" i="3" s="1"/>
  <c r="E7" i="3"/>
  <c r="F7" i="3" s="1"/>
  <c r="F41" i="3" l="1"/>
  <c r="E42" i="3" s="1"/>
  <c r="C47" i="3"/>
  <c r="C26" i="3"/>
  <c r="H25" i="3"/>
  <c r="G25" i="3"/>
  <c r="H8" i="3"/>
  <c r="F59" i="3"/>
  <c r="G59" i="3"/>
  <c r="C67" i="3"/>
  <c r="G26" i="3"/>
  <c r="E26" i="3"/>
  <c r="F26" i="3" s="1"/>
  <c r="E8" i="3"/>
  <c r="F8" i="3" s="1"/>
  <c r="G8" i="3"/>
  <c r="E60" i="3" l="1"/>
  <c r="I60" i="3" s="1"/>
  <c r="G42" i="3"/>
  <c r="F42" i="3"/>
  <c r="E43" i="3" s="1"/>
  <c r="H42" i="3"/>
  <c r="C48" i="3"/>
  <c r="H9" i="3"/>
  <c r="C27" i="3"/>
  <c r="H26" i="3"/>
  <c r="H60" i="3"/>
  <c r="C68" i="3"/>
  <c r="G27" i="3"/>
  <c r="E27" i="3"/>
  <c r="F27" i="3" s="1"/>
  <c r="E9" i="3"/>
  <c r="F9" i="3" s="1"/>
  <c r="G9" i="3"/>
  <c r="H43" i="3" l="1"/>
  <c r="G43" i="3"/>
  <c r="F43" i="3"/>
  <c r="E44" i="3" s="1"/>
  <c r="C49" i="3"/>
  <c r="C28" i="3"/>
  <c r="H27" i="3"/>
  <c r="H10" i="3"/>
  <c r="F60" i="3"/>
  <c r="G60" i="3"/>
  <c r="C69" i="3"/>
  <c r="E28" i="3"/>
  <c r="F28" i="3" s="1"/>
  <c r="G28" i="3"/>
  <c r="E10" i="3"/>
  <c r="F10" i="3" s="1"/>
  <c r="G10" i="3"/>
  <c r="E61" i="3" l="1"/>
  <c r="I61" i="3" s="1"/>
  <c r="G44" i="3"/>
  <c r="F44" i="3"/>
  <c r="E45" i="3" s="1"/>
  <c r="H45" i="3"/>
  <c r="H44" i="3"/>
  <c r="C50" i="3"/>
  <c r="C29" i="3"/>
  <c r="H28" i="3"/>
  <c r="H11" i="3"/>
  <c r="H61" i="3"/>
  <c r="C70" i="3"/>
  <c r="G29" i="3"/>
  <c r="E29" i="3"/>
  <c r="F29" i="3" s="1"/>
  <c r="E11" i="3"/>
  <c r="F11" i="3" s="1"/>
  <c r="G11" i="3"/>
  <c r="G45" i="3" l="1"/>
  <c r="F45" i="3"/>
  <c r="E46" i="3" s="1"/>
  <c r="H46" i="3"/>
  <c r="C51" i="3"/>
  <c r="H12" i="3"/>
  <c r="C30" i="3"/>
  <c r="H29" i="3"/>
  <c r="F61" i="3"/>
  <c r="H62" i="3" s="1"/>
  <c r="G61" i="3"/>
  <c r="C71" i="3"/>
  <c r="G30" i="3"/>
  <c r="E30" i="3"/>
  <c r="F30" i="3" s="1"/>
  <c r="E12" i="3"/>
  <c r="F12" i="3" s="1"/>
  <c r="G12" i="3"/>
  <c r="E62" i="3" l="1"/>
  <c r="I62" i="3" s="1"/>
  <c r="G46" i="3"/>
  <c r="F46" i="3"/>
  <c r="E47" i="3" s="1"/>
  <c r="H47" i="3"/>
  <c r="C52" i="3"/>
  <c r="H13" i="3"/>
  <c r="C31" i="3"/>
  <c r="H30" i="3"/>
  <c r="E31" i="3"/>
  <c r="F31" i="3" s="1"/>
  <c r="G31" i="3"/>
  <c r="E13" i="3"/>
  <c r="F13" i="3" s="1"/>
  <c r="G13" i="3"/>
  <c r="G47" i="3" l="1"/>
  <c r="F47" i="3"/>
  <c r="E48" i="3" s="1"/>
  <c r="C53" i="3"/>
  <c r="H14" i="3"/>
  <c r="C32" i="3"/>
  <c r="H31" i="3"/>
  <c r="F62" i="3"/>
  <c r="E63" i="3" s="1"/>
  <c r="I63" i="3" s="1"/>
  <c r="G62" i="3"/>
  <c r="G32" i="3"/>
  <c r="E32" i="3"/>
  <c r="F32" i="3" s="1"/>
  <c r="E14" i="3"/>
  <c r="F14" i="3" s="1"/>
  <c r="G14" i="3"/>
  <c r="H48" i="3" l="1"/>
  <c r="G48" i="3"/>
  <c r="F48" i="3"/>
  <c r="E49" i="3" s="1"/>
  <c r="C33" i="3"/>
  <c r="H32" i="3"/>
  <c r="H15" i="3"/>
  <c r="H63" i="3"/>
  <c r="G33" i="3"/>
  <c r="E33" i="3"/>
  <c r="F33" i="3" s="1"/>
  <c r="E15" i="3"/>
  <c r="F15" i="3" s="1"/>
  <c r="G15" i="3"/>
  <c r="H49" i="3" l="1"/>
  <c r="G49" i="3"/>
  <c r="F49" i="3"/>
  <c r="E50" i="3" s="1"/>
  <c r="H16" i="3"/>
  <c r="C34" i="3"/>
  <c r="H33" i="3"/>
  <c r="F63" i="3"/>
  <c r="E64" i="3" s="1"/>
  <c r="I64" i="3" s="1"/>
  <c r="G63" i="3"/>
  <c r="G34" i="3"/>
  <c r="E34" i="3"/>
  <c r="F34" i="3" s="1"/>
  <c r="E16" i="3"/>
  <c r="F16" i="3" s="1"/>
  <c r="G16" i="3"/>
  <c r="H50" i="3" l="1"/>
  <c r="G50" i="3"/>
  <c r="F50" i="3"/>
  <c r="E51" i="3" s="1"/>
  <c r="H17" i="3"/>
  <c r="C35" i="3"/>
  <c r="H35" i="3" s="1"/>
  <c r="H34" i="3"/>
  <c r="H64" i="3"/>
  <c r="G35" i="3"/>
  <c r="L21" i="3" s="1"/>
  <c r="E35" i="3"/>
  <c r="F35" i="3" s="1"/>
  <c r="E17" i="3"/>
  <c r="F17" i="3" s="1"/>
  <c r="G17" i="3"/>
  <c r="H51" i="3" l="1"/>
  <c r="G51" i="3"/>
  <c r="F51" i="3"/>
  <c r="E52" i="3" s="1"/>
  <c r="H52" i="3"/>
  <c r="F64" i="3"/>
  <c r="E65" i="3" s="1"/>
  <c r="I65" i="3" s="1"/>
  <c r="G64" i="3"/>
  <c r="G52" i="3" l="1"/>
  <c r="F52" i="3"/>
  <c r="E53" i="3" s="1"/>
  <c r="H53" i="3"/>
  <c r="H65" i="3"/>
  <c r="G53" i="3" l="1"/>
  <c r="L39" i="3" s="1"/>
  <c r="F53" i="3"/>
  <c r="F65" i="3"/>
  <c r="E66" i="3" s="1"/>
  <c r="I66" i="3" s="1"/>
  <c r="G65" i="3"/>
  <c r="H66" i="3" l="1"/>
  <c r="F66" i="3" l="1"/>
  <c r="E67" i="3" s="1"/>
  <c r="I67" i="3" s="1"/>
  <c r="G66" i="3"/>
  <c r="H67" i="3" l="1"/>
  <c r="F67" i="3" l="1"/>
  <c r="E68" i="3" s="1"/>
  <c r="I68" i="3" s="1"/>
  <c r="G67" i="3"/>
  <c r="H68" i="3" l="1"/>
  <c r="F68" i="3" l="1"/>
  <c r="E69" i="3" s="1"/>
  <c r="I69" i="3" s="1"/>
  <c r="G68" i="3"/>
  <c r="H69" i="3" l="1"/>
  <c r="F69" i="3" l="1"/>
  <c r="E70" i="3" s="1"/>
  <c r="I70" i="3" s="1"/>
  <c r="G69" i="3"/>
  <c r="H70" i="3" l="1"/>
  <c r="F70" i="3" l="1"/>
  <c r="E71" i="3" s="1"/>
  <c r="I71" i="3" s="1"/>
  <c r="L63" i="3" s="1"/>
  <c r="U8" i="5" s="1"/>
  <c r="G70" i="3"/>
  <c r="H71" i="3" l="1"/>
  <c r="L59" i="3" s="1"/>
  <c r="U4" i="5" s="1"/>
  <c r="F71" i="3" l="1"/>
  <c r="G71" i="3"/>
  <c r="L57" i="3" s="1"/>
  <c r="U2" i="5" s="1"/>
  <c r="L58" i="3" l="1"/>
  <c r="U3" i="5" s="1"/>
</calcChain>
</file>

<file path=xl/sharedStrings.xml><?xml version="1.0" encoding="utf-8"?>
<sst xmlns="http://schemas.openxmlformats.org/spreadsheetml/2006/main" count="78" uniqueCount="32">
  <si>
    <t>Customer No.</t>
  </si>
  <si>
    <t>Waiting Time</t>
  </si>
  <si>
    <t>Service Start Time</t>
  </si>
  <si>
    <t>Service End Time</t>
  </si>
  <si>
    <t>Queue Length at Arrival</t>
  </si>
  <si>
    <t>Idle Time of Server</t>
  </si>
  <si>
    <t xml:space="preserve">Arrival Time </t>
  </si>
  <si>
    <t>Interarrival Time (with respect to the previous arrival time)</t>
  </si>
  <si>
    <t>Service Time (requested by Customer)</t>
  </si>
  <si>
    <t>A.</t>
  </si>
  <si>
    <t>B.</t>
  </si>
  <si>
    <t> Arrival every 2 minutes, Service time = 3 mins</t>
  </si>
  <si>
    <t xml:space="preserve">C. </t>
  </si>
  <si>
    <t>D.</t>
  </si>
  <si>
    <t>Average waiting time</t>
  </si>
  <si>
    <t>Max queue length</t>
  </si>
  <si>
    <t>Server utilization</t>
  </si>
  <si>
    <t> Arrival every 2 minutes, Service time = 2 mins</t>
  </si>
  <si>
    <t> Arrival every 1 minute, Service time = 2 mins</t>
  </si>
  <si>
    <t>Total busy time:</t>
  </si>
  <si>
    <t>Total server time:</t>
  </si>
  <si>
    <t>Random</t>
  </si>
  <si>
    <t>Total waiting time</t>
  </si>
  <si>
    <t>Arrival Time</t>
  </si>
  <si>
    <t>Interarrival Time (with respect to the previous Customer</t>
  </si>
  <si>
    <t>Server Utilization</t>
  </si>
  <si>
    <t>A</t>
  </si>
  <si>
    <t>B</t>
  </si>
  <si>
    <t>C</t>
  </si>
  <si>
    <t>D</t>
  </si>
  <si>
    <t>Total busy time</t>
  </si>
  <si>
    <t>Total server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</si>
</sst>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Arial"/>
      <family val="2"/>
    </font>
    <font>
      <b/>
      <sz val="12"/>
      <color theme="1"/>
      <name val="Arial"/>
      <family val="2"/>
    </font>
    <font>
      <b/>
      <sz val="12"/>
      <name val="Arial"/>
      <family val="2"/>
    </font>
    <font>
      <b/>
      <sz val="11"/>
      <name val="Arial"/>
      <family val="2"/>
    </font>
    <font>
      <sz val="12"/>
      <name val="Arial"/>
      <family val="2"/>
    </font>
    <font>
      <sz val="1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vertical="center"/>
    </xf>
    <xf numFmtId="0" fontId="3" fillId="0" borderId="0" xfId="0" applyFont="1"/>
    <xf numFmtId="0" fontId="4" fillId="0" borderId="0" xfId="0" applyFont="1" applyAlignment="1">
      <alignment wrapText="1"/>
    </xf>
    <xf numFmtId="0" fontId="5" fillId="0" borderId="0" xfId="0" applyFont="1"/>
    <xf numFmtId="0" fontId="4" fillId="0" borderId="0" xfId="0" applyFont="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4" fillId="0" borderId="0" xfId="0" applyFont="1"/>
    <xf numFmtId="0" fontId="6" fillId="0" borderId="0" xfId="0" applyFont="1"/>
    <xf numFmtId="0" fontId="6" fillId="2" borderId="0" xfId="0" applyFont="1" applyFill="1" applyAlignment="1">
      <alignment horizontal="center" vertical="center"/>
    </xf>
    <xf numFmtId="0" fontId="5"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Alignment="1">
      <alignment horizontal="center" vertical="center"/>
    </xf>
    <xf numFmtId="0" fontId="3" fillId="2" borderId="0" xfId="0" applyFont="1" applyFill="1" applyAlignment="1">
      <alignment horizontal="center" vertical="center"/>
    </xf>
    <xf numFmtId="0" fontId="6" fillId="2" borderId="0" xfId="0" applyFont="1" applyFill="1" applyAlignment="1">
      <alignment horizontal="center"/>
    </xf>
    <xf numFmtId="0" fontId="1"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2" fillId="0" borderId="0" xfId="0" applyFont="1" applyAlignment="1">
      <alignment horizontal="center" vertic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A. Interarrival Time vs Queue Length at Arrival</a:t>
            </a:r>
          </a:p>
          <a:p>
            <a:pPr>
              <a:defRPr/>
            </a:pPr>
            <a:r>
              <a:rPr lang="en-US"/>
              <a:t>(Arrival at every 2 minutes, Service</a:t>
            </a:r>
            <a:r>
              <a:rPr lang="en-US" baseline="0"/>
              <a:t> time constantly 3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Activity!$H$2</c:f>
              <c:strCache>
                <c:ptCount val="1"/>
                <c:pt idx="0">
                  <c:v>Queue Length at Arrival</c:v>
                </c:pt>
              </c:strCache>
            </c:strRef>
          </c:tx>
          <c:spPr>
            <a:ln w="19050" cap="rnd">
              <a:solidFill>
                <a:schemeClr val="accent1"/>
              </a:solidFill>
              <a:round/>
            </a:ln>
            <a:effectLst/>
          </c:spPr>
          <c:marker>
            <c:symbol val="none"/>
          </c:marker>
          <c:cat>
            <c:numRef>
              <c:f>Activity!$C$3:$C$17</c:f>
              <c:numCache>
                <c:formatCode>General</c:formatCode>
                <c:ptCount val="15"/>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numCache>
            </c:numRef>
          </c:cat>
          <c:val>
            <c:numRef>
              <c:f>Activity!$H$3:$H$17</c:f>
              <c:numCache>
                <c:formatCode>General</c:formatCode>
                <c:ptCount val="15"/>
                <c:pt idx="0">
                  <c:v>0</c:v>
                </c:pt>
                <c:pt idx="1">
                  <c:v>1</c:v>
                </c:pt>
                <c:pt idx="2">
                  <c:v>1</c:v>
                </c:pt>
                <c:pt idx="3">
                  <c:v>1</c:v>
                </c:pt>
                <c:pt idx="4">
                  <c:v>2</c:v>
                </c:pt>
                <c:pt idx="5">
                  <c:v>2</c:v>
                </c:pt>
                <c:pt idx="6">
                  <c:v>2</c:v>
                </c:pt>
                <c:pt idx="7">
                  <c:v>3</c:v>
                </c:pt>
                <c:pt idx="8">
                  <c:v>3</c:v>
                </c:pt>
                <c:pt idx="9">
                  <c:v>3</c:v>
                </c:pt>
                <c:pt idx="10">
                  <c:v>4</c:v>
                </c:pt>
                <c:pt idx="11">
                  <c:v>4</c:v>
                </c:pt>
                <c:pt idx="12">
                  <c:v>4</c:v>
                </c:pt>
                <c:pt idx="13">
                  <c:v>5</c:v>
                </c:pt>
                <c:pt idx="14">
                  <c:v>5</c:v>
                </c:pt>
              </c:numCache>
            </c:numRef>
          </c:val>
          <c:smooth val="0"/>
          <c:extLst>
            <c:ext xmlns:c16="http://schemas.microsoft.com/office/drawing/2014/chart" uri="{C3380CC4-5D6E-409C-BE32-E72D297353CC}">
              <c16:uniqueId val="{00000000-3D44-488D-8C05-62332D26FBEF}"/>
            </c:ext>
          </c:extLst>
        </c:ser>
        <c:dLbls>
          <c:dLblPos val="t"/>
          <c:showLegendKey val="0"/>
          <c:showVal val="0"/>
          <c:showCatName val="0"/>
          <c:showSerName val="0"/>
          <c:showPercent val="0"/>
          <c:showBubbleSize val="0"/>
        </c:dLbls>
        <c:smooth val="0"/>
        <c:axId val="332264800"/>
        <c:axId val="150200320"/>
      </c:lineChart>
      <c:catAx>
        <c:axId val="332264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 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0200320"/>
        <c:crosses val="autoZero"/>
        <c:auto val="1"/>
        <c:lblAlgn val="ctr"/>
        <c:lblOffset val="100"/>
        <c:noMultiLvlLbl val="0"/>
      </c:catAx>
      <c:valAx>
        <c:axId val="1502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3226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a:t>B. Interarrival Time vs Queue Length</a:t>
            </a:r>
            <a:r>
              <a:rPr lang="en-US" sz="1200" baseline="0"/>
              <a:t> at Arrival</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0" i="0" baseline="0">
                <a:effectLst/>
              </a:rPr>
              <a:t>(Arrival at every 2 minutes, Service time constantly 2 minutes</a:t>
            </a:r>
            <a:endParaRPr lang="en-PH" sz="12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Activity!$H$20</c:f>
              <c:strCache>
                <c:ptCount val="1"/>
                <c:pt idx="0">
                  <c:v>Queue Length at Arrival</c:v>
                </c:pt>
              </c:strCache>
            </c:strRef>
          </c:tx>
          <c:spPr>
            <a:ln w="19050" cap="rnd">
              <a:solidFill>
                <a:schemeClr val="accent1"/>
              </a:solidFill>
              <a:round/>
            </a:ln>
            <a:effectLst/>
          </c:spPr>
          <c:marker>
            <c:symbol val="none"/>
          </c:marker>
          <c:cat>
            <c:numRef>
              <c:f>Activity!$C$21:$C$35</c:f>
              <c:numCache>
                <c:formatCode>General</c:formatCode>
                <c:ptCount val="15"/>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numCache>
            </c:numRef>
          </c:cat>
          <c:val>
            <c:numRef>
              <c:f>Activity!$H$21:$H$35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8BA7-4F03-A5A6-63FA33E98748}"/>
            </c:ext>
          </c:extLst>
        </c:ser>
        <c:dLbls>
          <c:showLegendKey val="0"/>
          <c:showVal val="0"/>
          <c:showCatName val="0"/>
          <c:showSerName val="0"/>
          <c:showPercent val="0"/>
          <c:showBubbleSize val="0"/>
        </c:dLbls>
        <c:smooth val="0"/>
        <c:axId val="341448160"/>
        <c:axId val="341444832"/>
      </c:lineChart>
      <c:catAx>
        <c:axId val="341448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a:t>
                </a:r>
                <a:r>
                  <a:rPr lang="en-PH" baseline="0"/>
                  <a:t> Time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41444832"/>
        <c:crosses val="autoZero"/>
        <c:auto val="1"/>
        <c:lblAlgn val="ctr"/>
        <c:lblOffset val="100"/>
        <c:noMultiLvlLbl val="0"/>
      </c:catAx>
      <c:valAx>
        <c:axId val="34144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4144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C. Interarrival Time vs Queue Length at Arrival</a:t>
            </a:r>
          </a:p>
          <a:p>
            <a:pPr algn="ctr" rtl="0">
              <a:defRPr/>
            </a:pPr>
            <a:r>
              <a:rPr lang="en-US"/>
              <a:t>(Arrival at every minute, Service time constantly 2 minutes</a:t>
            </a:r>
            <a:endParaRPr lang="en-PH"/>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Activity!$H$38</c:f>
              <c:strCache>
                <c:ptCount val="1"/>
                <c:pt idx="0">
                  <c:v>Queue Length at Arrival</c:v>
                </c:pt>
              </c:strCache>
            </c:strRef>
          </c:tx>
          <c:spPr>
            <a:ln w="19050" cap="rnd">
              <a:solidFill>
                <a:schemeClr val="accent1"/>
              </a:solidFill>
              <a:round/>
            </a:ln>
            <a:effectLst/>
          </c:spPr>
          <c:marker>
            <c:symbol val="none"/>
          </c:marker>
          <c:cat>
            <c:numRef>
              <c:f>Activity!$C$39:$C$53</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Activity!$H$39:$H$53</c:f>
              <c:numCache>
                <c:formatCode>General</c:formatCode>
                <c:ptCount val="15"/>
                <c:pt idx="0">
                  <c:v>0</c:v>
                </c:pt>
                <c:pt idx="1">
                  <c:v>1</c:v>
                </c:pt>
                <c:pt idx="2">
                  <c:v>1</c:v>
                </c:pt>
                <c:pt idx="3">
                  <c:v>2</c:v>
                </c:pt>
                <c:pt idx="4">
                  <c:v>2</c:v>
                </c:pt>
                <c:pt idx="5">
                  <c:v>3</c:v>
                </c:pt>
                <c:pt idx="6">
                  <c:v>3</c:v>
                </c:pt>
                <c:pt idx="7">
                  <c:v>4</c:v>
                </c:pt>
                <c:pt idx="8">
                  <c:v>4</c:v>
                </c:pt>
                <c:pt idx="9">
                  <c:v>5</c:v>
                </c:pt>
                <c:pt idx="10">
                  <c:v>5</c:v>
                </c:pt>
                <c:pt idx="11">
                  <c:v>6</c:v>
                </c:pt>
                <c:pt idx="12">
                  <c:v>6</c:v>
                </c:pt>
                <c:pt idx="13">
                  <c:v>7</c:v>
                </c:pt>
                <c:pt idx="14">
                  <c:v>7</c:v>
                </c:pt>
              </c:numCache>
            </c:numRef>
          </c:val>
          <c:smooth val="0"/>
          <c:extLst>
            <c:ext xmlns:c16="http://schemas.microsoft.com/office/drawing/2014/chart" uri="{C3380CC4-5D6E-409C-BE32-E72D297353CC}">
              <c16:uniqueId val="{00000000-2C07-4BE3-B83A-5F13A8AAC321}"/>
            </c:ext>
          </c:extLst>
        </c:ser>
        <c:dLbls>
          <c:showLegendKey val="0"/>
          <c:showVal val="0"/>
          <c:showCatName val="0"/>
          <c:showSerName val="0"/>
          <c:showPercent val="0"/>
          <c:showBubbleSize val="0"/>
        </c:dLbls>
        <c:smooth val="0"/>
        <c:axId val="435285520"/>
        <c:axId val="435289264"/>
      </c:lineChart>
      <c:catAx>
        <c:axId val="435285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 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35289264"/>
        <c:crosses val="autoZero"/>
        <c:auto val="1"/>
        <c:lblAlgn val="ctr"/>
        <c:lblOffset val="100"/>
        <c:noMultiLvlLbl val="0"/>
      </c:catAx>
      <c:valAx>
        <c:axId val="43528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3528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D. Interarrival Time vs Queue Length at Arrival</a:t>
            </a:r>
          </a:p>
          <a:p>
            <a:pPr>
              <a:defRPr/>
            </a:pPr>
            <a:r>
              <a:rPr lang="en-US"/>
              <a:t>(at</a:t>
            </a:r>
            <a:r>
              <a:rPr lang="en-US" baseline="0"/>
              <a:t> Random Arrival and Service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Activity!$H$56</c:f>
              <c:strCache>
                <c:ptCount val="1"/>
                <c:pt idx="0">
                  <c:v>Queue Length at Arrival</c:v>
                </c:pt>
              </c:strCache>
            </c:strRef>
          </c:tx>
          <c:spPr>
            <a:ln w="19050" cap="rnd">
              <a:solidFill>
                <a:schemeClr val="accent1"/>
              </a:solidFill>
              <a:round/>
            </a:ln>
            <a:effectLst/>
          </c:spPr>
          <c:marker>
            <c:symbol val="none"/>
          </c:marker>
          <c:cat>
            <c:numRef>
              <c:f>Activity!$C$57:$C$71</c:f>
              <c:numCache>
                <c:formatCode>General</c:formatCode>
                <c:ptCount val="15"/>
                <c:pt idx="0">
                  <c:v>0</c:v>
                </c:pt>
                <c:pt idx="1">
                  <c:v>0</c:v>
                </c:pt>
                <c:pt idx="2">
                  <c:v>3</c:v>
                </c:pt>
                <c:pt idx="3">
                  <c:v>3</c:v>
                </c:pt>
                <c:pt idx="4">
                  <c:v>5</c:v>
                </c:pt>
                <c:pt idx="5">
                  <c:v>6</c:v>
                </c:pt>
                <c:pt idx="6">
                  <c:v>6</c:v>
                </c:pt>
                <c:pt idx="7">
                  <c:v>8</c:v>
                </c:pt>
                <c:pt idx="8">
                  <c:v>9</c:v>
                </c:pt>
                <c:pt idx="9">
                  <c:v>12</c:v>
                </c:pt>
                <c:pt idx="10">
                  <c:v>13</c:v>
                </c:pt>
                <c:pt idx="11">
                  <c:v>17</c:v>
                </c:pt>
                <c:pt idx="12">
                  <c:v>22</c:v>
                </c:pt>
                <c:pt idx="13">
                  <c:v>24</c:v>
                </c:pt>
                <c:pt idx="14">
                  <c:v>29</c:v>
                </c:pt>
              </c:numCache>
            </c:numRef>
          </c:cat>
          <c:val>
            <c:numRef>
              <c:f>Activity!$H$57:$H$71</c:f>
              <c:numCache>
                <c:formatCode>General</c:formatCode>
                <c:ptCount val="15"/>
                <c:pt idx="0">
                  <c:v>0</c:v>
                </c:pt>
                <c:pt idx="1">
                  <c:v>1</c:v>
                </c:pt>
                <c:pt idx="2">
                  <c:v>1</c:v>
                </c:pt>
                <c:pt idx="3">
                  <c:v>2</c:v>
                </c:pt>
                <c:pt idx="4">
                  <c:v>3</c:v>
                </c:pt>
                <c:pt idx="5">
                  <c:v>4</c:v>
                </c:pt>
                <c:pt idx="6">
                  <c:v>5</c:v>
                </c:pt>
                <c:pt idx="7">
                  <c:v>5</c:v>
                </c:pt>
                <c:pt idx="8">
                  <c:v>5</c:v>
                </c:pt>
                <c:pt idx="9">
                  <c:v>6</c:v>
                </c:pt>
                <c:pt idx="10">
                  <c:v>7</c:v>
                </c:pt>
                <c:pt idx="11">
                  <c:v>6</c:v>
                </c:pt>
                <c:pt idx="12">
                  <c:v>4</c:v>
                </c:pt>
                <c:pt idx="13">
                  <c:v>5</c:v>
                </c:pt>
                <c:pt idx="14">
                  <c:v>4</c:v>
                </c:pt>
              </c:numCache>
            </c:numRef>
          </c:val>
          <c:smooth val="0"/>
          <c:extLst>
            <c:ext xmlns:c16="http://schemas.microsoft.com/office/drawing/2014/chart" uri="{C3380CC4-5D6E-409C-BE32-E72D297353CC}">
              <c16:uniqueId val="{00000000-7997-4288-9751-4E76716B0650}"/>
            </c:ext>
          </c:extLst>
        </c:ser>
        <c:dLbls>
          <c:showLegendKey val="0"/>
          <c:showVal val="0"/>
          <c:showCatName val="0"/>
          <c:showSerName val="0"/>
          <c:showPercent val="0"/>
          <c:showBubbleSize val="0"/>
        </c:dLbls>
        <c:smooth val="0"/>
        <c:axId val="447193120"/>
        <c:axId val="447189792"/>
      </c:lineChart>
      <c:catAx>
        <c:axId val="447193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 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7189792"/>
        <c:crosses val="autoZero"/>
        <c:auto val="1"/>
        <c:lblAlgn val="ctr"/>
        <c:lblOffset val="100"/>
        <c:noMultiLvlLbl val="0"/>
      </c:catAx>
      <c:valAx>
        <c:axId val="4471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719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a:t>A.</a:t>
            </a:r>
            <a:r>
              <a:rPr lang="en-US" sz="1200" baseline="0"/>
              <a:t> </a:t>
            </a:r>
            <a:r>
              <a:rPr lang="en-US" sz="1200"/>
              <a:t>Interarrival Time vs Queue Length at Arrival</a:t>
            </a:r>
          </a:p>
          <a:p>
            <a:pPr>
              <a:defRPr sz="1200"/>
            </a:pPr>
            <a:r>
              <a:rPr lang="en-US" sz="1200"/>
              <a:t>(Arrival at every 2 minutes, Service</a:t>
            </a:r>
            <a:r>
              <a:rPr lang="en-US" sz="1200" baseline="0"/>
              <a:t> time constantly 3 minutes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Activity!$H$2</c:f>
              <c:strCache>
                <c:ptCount val="1"/>
                <c:pt idx="0">
                  <c:v>Queue Length at Arrival</c:v>
                </c:pt>
              </c:strCache>
            </c:strRef>
          </c:tx>
          <c:spPr>
            <a:ln w="19050" cap="rnd">
              <a:solidFill>
                <a:schemeClr val="accent1"/>
              </a:solidFill>
              <a:round/>
            </a:ln>
            <a:effectLst/>
          </c:spPr>
          <c:marker>
            <c:symbol val="none"/>
          </c:marker>
          <c:cat>
            <c:numRef>
              <c:f>Activity!$C$3:$C$17</c:f>
              <c:numCache>
                <c:formatCode>General</c:formatCode>
                <c:ptCount val="15"/>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numCache>
            </c:numRef>
          </c:cat>
          <c:val>
            <c:numRef>
              <c:f>Activity!$H$3:$H$17</c:f>
              <c:numCache>
                <c:formatCode>General</c:formatCode>
                <c:ptCount val="15"/>
                <c:pt idx="0">
                  <c:v>0</c:v>
                </c:pt>
                <c:pt idx="1">
                  <c:v>1</c:v>
                </c:pt>
                <c:pt idx="2">
                  <c:v>1</c:v>
                </c:pt>
                <c:pt idx="3">
                  <c:v>1</c:v>
                </c:pt>
                <c:pt idx="4">
                  <c:v>2</c:v>
                </c:pt>
                <c:pt idx="5">
                  <c:v>2</c:v>
                </c:pt>
                <c:pt idx="6">
                  <c:v>2</c:v>
                </c:pt>
                <c:pt idx="7">
                  <c:v>3</c:v>
                </c:pt>
                <c:pt idx="8">
                  <c:v>3</c:v>
                </c:pt>
                <c:pt idx="9">
                  <c:v>3</c:v>
                </c:pt>
                <c:pt idx="10">
                  <c:v>4</c:v>
                </c:pt>
                <c:pt idx="11">
                  <c:v>4</c:v>
                </c:pt>
                <c:pt idx="12">
                  <c:v>4</c:v>
                </c:pt>
                <c:pt idx="13">
                  <c:v>5</c:v>
                </c:pt>
                <c:pt idx="14">
                  <c:v>5</c:v>
                </c:pt>
              </c:numCache>
            </c:numRef>
          </c:val>
          <c:smooth val="0"/>
          <c:extLst>
            <c:ext xmlns:c16="http://schemas.microsoft.com/office/drawing/2014/chart" uri="{C3380CC4-5D6E-409C-BE32-E72D297353CC}">
              <c16:uniqueId val="{00000000-C394-4D37-BFDD-8DB13743FFAD}"/>
            </c:ext>
          </c:extLst>
        </c:ser>
        <c:dLbls>
          <c:showLegendKey val="0"/>
          <c:showVal val="0"/>
          <c:showCatName val="0"/>
          <c:showSerName val="0"/>
          <c:showPercent val="0"/>
          <c:showBubbleSize val="0"/>
        </c:dLbls>
        <c:smooth val="0"/>
        <c:axId val="332264800"/>
        <c:axId val="150200320"/>
      </c:lineChart>
      <c:catAx>
        <c:axId val="332264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 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0200320"/>
        <c:crosses val="autoZero"/>
        <c:auto val="1"/>
        <c:lblAlgn val="ctr"/>
        <c:lblOffset val="100"/>
        <c:noMultiLvlLbl val="0"/>
      </c:catAx>
      <c:valAx>
        <c:axId val="1502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3226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a:t>B. Interarrival Time vs Queue Length</a:t>
            </a:r>
            <a:r>
              <a:rPr lang="en-US" sz="1200" baseline="0"/>
              <a:t> at Arrival</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effectLst/>
              </a:rPr>
              <a:t>(Arrival at every 2 minutes, Service time constantly 2 minutes</a:t>
            </a:r>
            <a:endParaRPr lang="en-PH" sz="12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Activity!$H$20</c:f>
              <c:strCache>
                <c:ptCount val="1"/>
                <c:pt idx="0">
                  <c:v>Queue Length at Arrival</c:v>
                </c:pt>
              </c:strCache>
            </c:strRef>
          </c:tx>
          <c:spPr>
            <a:ln w="19050" cap="rnd">
              <a:solidFill>
                <a:schemeClr val="accent1"/>
              </a:solidFill>
              <a:round/>
            </a:ln>
            <a:effectLst/>
          </c:spPr>
          <c:marker>
            <c:symbol val="none"/>
          </c:marker>
          <c:cat>
            <c:numRef>
              <c:f>Activity!$C$21:$C$35</c:f>
              <c:numCache>
                <c:formatCode>General</c:formatCode>
                <c:ptCount val="15"/>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numCache>
            </c:numRef>
          </c:cat>
          <c:val>
            <c:numRef>
              <c:f>Activity!$H$21:$H$35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3F7E-4160-B543-12FCCD5171CC}"/>
            </c:ext>
          </c:extLst>
        </c:ser>
        <c:dLbls>
          <c:showLegendKey val="0"/>
          <c:showVal val="0"/>
          <c:showCatName val="0"/>
          <c:showSerName val="0"/>
          <c:showPercent val="0"/>
          <c:showBubbleSize val="0"/>
        </c:dLbls>
        <c:smooth val="0"/>
        <c:axId val="341448160"/>
        <c:axId val="341444832"/>
      </c:lineChart>
      <c:catAx>
        <c:axId val="341448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a:t>
                </a:r>
                <a:r>
                  <a:rPr lang="en-PH" baseline="0"/>
                  <a:t> Time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41444832"/>
        <c:crosses val="autoZero"/>
        <c:auto val="1"/>
        <c:lblAlgn val="ctr"/>
        <c:lblOffset val="100"/>
        <c:noMultiLvlLbl val="0"/>
      </c:catAx>
      <c:valAx>
        <c:axId val="34144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4144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a:solidFill>
                  <a:sysClr val="windowText" lastClr="000000"/>
                </a:solidFill>
              </a:rPr>
              <a:t>C. Interarrival Time vs Queue Length at Arrival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r>
              <a:rPr lang="en-US" sz="1200" b="0" i="0" baseline="0">
                <a:solidFill>
                  <a:sysClr val="windowText" lastClr="000000"/>
                </a:solidFill>
                <a:effectLst/>
              </a:rPr>
              <a:t>(Arrival at every minute, Service time constantly 2 minutes</a:t>
            </a:r>
            <a:endParaRPr lang="en-PH" sz="120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Activity!$H$38</c:f>
              <c:strCache>
                <c:ptCount val="1"/>
                <c:pt idx="0">
                  <c:v>Queue Length at Arrival</c:v>
                </c:pt>
              </c:strCache>
            </c:strRef>
          </c:tx>
          <c:spPr>
            <a:ln w="19050" cap="rnd">
              <a:solidFill>
                <a:schemeClr val="accent1"/>
              </a:solidFill>
              <a:round/>
            </a:ln>
            <a:effectLst/>
          </c:spPr>
          <c:marker>
            <c:symbol val="none"/>
          </c:marker>
          <c:cat>
            <c:numRef>
              <c:f>Activity!$C$39:$C$53</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Activity!$H$39:$H$53</c:f>
              <c:numCache>
                <c:formatCode>General</c:formatCode>
                <c:ptCount val="15"/>
                <c:pt idx="0">
                  <c:v>0</c:v>
                </c:pt>
                <c:pt idx="1">
                  <c:v>1</c:v>
                </c:pt>
                <c:pt idx="2">
                  <c:v>1</c:v>
                </c:pt>
                <c:pt idx="3">
                  <c:v>2</c:v>
                </c:pt>
                <c:pt idx="4">
                  <c:v>2</c:v>
                </c:pt>
                <c:pt idx="5">
                  <c:v>3</c:v>
                </c:pt>
                <c:pt idx="6">
                  <c:v>3</c:v>
                </c:pt>
                <c:pt idx="7">
                  <c:v>4</c:v>
                </c:pt>
                <c:pt idx="8">
                  <c:v>4</c:v>
                </c:pt>
                <c:pt idx="9">
                  <c:v>5</c:v>
                </c:pt>
                <c:pt idx="10">
                  <c:v>5</c:v>
                </c:pt>
                <c:pt idx="11">
                  <c:v>6</c:v>
                </c:pt>
                <c:pt idx="12">
                  <c:v>6</c:v>
                </c:pt>
                <c:pt idx="13">
                  <c:v>7</c:v>
                </c:pt>
                <c:pt idx="14">
                  <c:v>7</c:v>
                </c:pt>
              </c:numCache>
            </c:numRef>
          </c:val>
          <c:smooth val="0"/>
          <c:extLst>
            <c:ext xmlns:c16="http://schemas.microsoft.com/office/drawing/2014/chart" uri="{C3380CC4-5D6E-409C-BE32-E72D297353CC}">
              <c16:uniqueId val="{00000000-8E47-4038-9BD6-B401596C5AC9}"/>
            </c:ext>
          </c:extLst>
        </c:ser>
        <c:dLbls>
          <c:showLegendKey val="0"/>
          <c:showVal val="0"/>
          <c:showCatName val="0"/>
          <c:showSerName val="0"/>
          <c:showPercent val="0"/>
          <c:showBubbleSize val="0"/>
        </c:dLbls>
        <c:smooth val="0"/>
        <c:axId val="435285520"/>
        <c:axId val="435289264"/>
      </c:lineChart>
      <c:catAx>
        <c:axId val="435285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a:t>Interarrival</a:t>
                </a:r>
                <a:r>
                  <a:rPr lang="en-PH" baseline="0"/>
                  <a:t> Time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5289264"/>
        <c:crosses val="autoZero"/>
        <c:auto val="1"/>
        <c:lblAlgn val="ctr"/>
        <c:lblOffset val="100"/>
        <c:noMultiLvlLbl val="0"/>
      </c:catAx>
      <c:valAx>
        <c:axId val="43528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528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a:t>D. Interarrival Time vs Queue Length at Arrival</a:t>
            </a:r>
          </a:p>
          <a:p>
            <a:pPr>
              <a:defRPr/>
            </a:pPr>
            <a:r>
              <a:rPr lang="en-US" sz="1200"/>
              <a:t>(at</a:t>
            </a:r>
            <a:r>
              <a:rPr lang="en-US" sz="1200" baseline="0"/>
              <a:t> Random Arrival and Service Time)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Activity!$H$56</c:f>
              <c:strCache>
                <c:ptCount val="1"/>
                <c:pt idx="0">
                  <c:v>Queue Length at Arrival</c:v>
                </c:pt>
              </c:strCache>
            </c:strRef>
          </c:tx>
          <c:spPr>
            <a:ln w="19050" cap="rnd">
              <a:solidFill>
                <a:schemeClr val="accent1"/>
              </a:solidFill>
              <a:round/>
            </a:ln>
            <a:effectLst/>
          </c:spPr>
          <c:marker>
            <c:symbol val="none"/>
          </c:marker>
          <c:cat>
            <c:numRef>
              <c:f>Activity!$C$57:$C$71</c:f>
              <c:numCache>
                <c:formatCode>General</c:formatCode>
                <c:ptCount val="15"/>
                <c:pt idx="0">
                  <c:v>0</c:v>
                </c:pt>
                <c:pt idx="1">
                  <c:v>0</c:v>
                </c:pt>
                <c:pt idx="2">
                  <c:v>3</c:v>
                </c:pt>
                <c:pt idx="3">
                  <c:v>3</c:v>
                </c:pt>
                <c:pt idx="4">
                  <c:v>5</c:v>
                </c:pt>
                <c:pt idx="5">
                  <c:v>6</c:v>
                </c:pt>
                <c:pt idx="6">
                  <c:v>6</c:v>
                </c:pt>
                <c:pt idx="7">
                  <c:v>8</c:v>
                </c:pt>
                <c:pt idx="8">
                  <c:v>9</c:v>
                </c:pt>
                <c:pt idx="9">
                  <c:v>12</c:v>
                </c:pt>
                <c:pt idx="10">
                  <c:v>13</c:v>
                </c:pt>
                <c:pt idx="11">
                  <c:v>17</c:v>
                </c:pt>
                <c:pt idx="12">
                  <c:v>22</c:v>
                </c:pt>
                <c:pt idx="13">
                  <c:v>24</c:v>
                </c:pt>
                <c:pt idx="14">
                  <c:v>29</c:v>
                </c:pt>
              </c:numCache>
            </c:numRef>
          </c:cat>
          <c:val>
            <c:numRef>
              <c:f>Activity!$H$57:$H$71</c:f>
              <c:numCache>
                <c:formatCode>General</c:formatCode>
                <c:ptCount val="15"/>
                <c:pt idx="0">
                  <c:v>0</c:v>
                </c:pt>
                <c:pt idx="1">
                  <c:v>1</c:v>
                </c:pt>
                <c:pt idx="2">
                  <c:v>1</c:v>
                </c:pt>
                <c:pt idx="3">
                  <c:v>2</c:v>
                </c:pt>
                <c:pt idx="4">
                  <c:v>3</c:v>
                </c:pt>
                <c:pt idx="5">
                  <c:v>4</c:v>
                </c:pt>
                <c:pt idx="6">
                  <c:v>5</c:v>
                </c:pt>
                <c:pt idx="7">
                  <c:v>5</c:v>
                </c:pt>
                <c:pt idx="8">
                  <c:v>5</c:v>
                </c:pt>
                <c:pt idx="9">
                  <c:v>6</c:v>
                </c:pt>
                <c:pt idx="10">
                  <c:v>7</c:v>
                </c:pt>
                <c:pt idx="11">
                  <c:v>6</c:v>
                </c:pt>
                <c:pt idx="12">
                  <c:v>4</c:v>
                </c:pt>
                <c:pt idx="13">
                  <c:v>5</c:v>
                </c:pt>
                <c:pt idx="14">
                  <c:v>4</c:v>
                </c:pt>
              </c:numCache>
            </c:numRef>
          </c:val>
          <c:smooth val="0"/>
          <c:extLst>
            <c:ext xmlns:c16="http://schemas.microsoft.com/office/drawing/2014/chart" uri="{C3380CC4-5D6E-409C-BE32-E72D297353CC}">
              <c16:uniqueId val="{00000000-4531-4A39-8653-8EC6A2535020}"/>
            </c:ext>
          </c:extLst>
        </c:ser>
        <c:dLbls>
          <c:showLegendKey val="0"/>
          <c:showVal val="0"/>
          <c:showCatName val="0"/>
          <c:showSerName val="0"/>
          <c:showPercent val="0"/>
          <c:showBubbleSize val="0"/>
        </c:dLbls>
        <c:smooth val="0"/>
        <c:axId val="447193120"/>
        <c:axId val="447189792"/>
      </c:lineChart>
      <c:catAx>
        <c:axId val="447193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Interarrival 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7189792"/>
        <c:crosses val="autoZero"/>
        <c:auto val="1"/>
        <c:lblAlgn val="ctr"/>
        <c:lblOffset val="100"/>
        <c:noMultiLvlLbl val="0"/>
      </c:catAx>
      <c:valAx>
        <c:axId val="4471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Queue Length at Arrival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719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4761</xdr:colOff>
      <xdr:row>0</xdr:row>
      <xdr:rowOff>195262</xdr:rowOff>
    </xdr:from>
    <xdr:to>
      <xdr:col>23</xdr:col>
      <xdr:colOff>180975</xdr:colOff>
      <xdr:row>17</xdr:row>
      <xdr:rowOff>161925</xdr:rowOff>
    </xdr:to>
    <xdr:graphicFrame macro="">
      <xdr:nvGraphicFramePr>
        <xdr:cNvPr id="14" name="Chart 13">
          <a:extLst>
            <a:ext uri="{FF2B5EF4-FFF2-40B4-BE49-F238E27FC236}">
              <a16:creationId xmlns:a16="http://schemas.microsoft.com/office/drawing/2014/main" id="{3704DE4B-D70C-4126-AA23-DF4DD07D6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9524</xdr:colOff>
      <xdr:row>19</xdr:row>
      <xdr:rowOff>4762</xdr:rowOff>
    </xdr:from>
    <xdr:to>
      <xdr:col>23</xdr:col>
      <xdr:colOff>114299</xdr:colOff>
      <xdr:row>34</xdr:row>
      <xdr:rowOff>171450</xdr:rowOff>
    </xdr:to>
    <xdr:graphicFrame macro="">
      <xdr:nvGraphicFramePr>
        <xdr:cNvPr id="15" name="Chart 14">
          <a:extLst>
            <a:ext uri="{FF2B5EF4-FFF2-40B4-BE49-F238E27FC236}">
              <a16:creationId xmlns:a16="http://schemas.microsoft.com/office/drawing/2014/main" id="{5A343679-79FF-4CCA-9E2A-97868C0A5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47624</xdr:colOff>
      <xdr:row>36</xdr:row>
      <xdr:rowOff>176211</xdr:rowOff>
    </xdr:from>
    <xdr:to>
      <xdr:col>23</xdr:col>
      <xdr:colOff>76199</xdr:colOff>
      <xdr:row>52</xdr:row>
      <xdr:rowOff>180975</xdr:rowOff>
    </xdr:to>
    <xdr:graphicFrame macro="">
      <xdr:nvGraphicFramePr>
        <xdr:cNvPr id="16" name="Chart 15">
          <a:extLst>
            <a:ext uri="{FF2B5EF4-FFF2-40B4-BE49-F238E27FC236}">
              <a16:creationId xmlns:a16="http://schemas.microsoft.com/office/drawing/2014/main" id="{4DAA0F81-3859-47AC-BEFB-A1F923C67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609599</xdr:colOff>
      <xdr:row>54</xdr:row>
      <xdr:rowOff>195261</xdr:rowOff>
    </xdr:from>
    <xdr:to>
      <xdr:col>22</xdr:col>
      <xdr:colOff>581024</xdr:colOff>
      <xdr:row>70</xdr:row>
      <xdr:rowOff>161925</xdr:rowOff>
    </xdr:to>
    <xdr:graphicFrame macro="">
      <xdr:nvGraphicFramePr>
        <xdr:cNvPr id="17" name="Chart 16">
          <a:extLst>
            <a:ext uri="{FF2B5EF4-FFF2-40B4-BE49-F238E27FC236}">
              <a16:creationId xmlns:a16="http://schemas.microsoft.com/office/drawing/2014/main" id="{74B26E30-D3D9-4CA4-A934-84D4D39DB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72</xdr:row>
      <xdr:rowOff>9525</xdr:rowOff>
    </xdr:from>
    <xdr:ext cx="6353175" cy="4695260"/>
    <xdr:sp macro="" textlink="">
      <xdr:nvSpPr>
        <xdr:cNvPr id="18" name="TextBox 17">
          <a:extLst>
            <a:ext uri="{FF2B5EF4-FFF2-40B4-BE49-F238E27FC236}">
              <a16:creationId xmlns:a16="http://schemas.microsoft.com/office/drawing/2014/main" id="{809404E4-3577-46BA-8734-34F016A7636C}"/>
            </a:ext>
          </a:extLst>
        </xdr:cNvPr>
        <xdr:cNvSpPr txBox="1"/>
      </xdr:nvSpPr>
      <xdr:spPr>
        <a:xfrm>
          <a:off x="0" y="18754725"/>
          <a:ext cx="6353175" cy="46952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200" b="1" i="0">
              <a:solidFill>
                <a:schemeClr val="tx1"/>
              </a:solidFill>
              <a:effectLst/>
              <a:latin typeface="Arial" panose="020B0604020202020204" pitchFamily="34" charset="0"/>
              <a:ea typeface="+mn-ea"/>
              <a:cs typeface="Arial" panose="020B0604020202020204" pitchFamily="34" charset="0"/>
            </a:rPr>
            <a:t>How does increasing arrival frequency affect the queue?</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0" i="0" baseline="0">
              <a:solidFill>
                <a:schemeClr val="tx1"/>
              </a:solidFill>
              <a:effectLst/>
              <a:latin typeface="Arial" panose="020B0604020202020204" pitchFamily="34" charset="0"/>
              <a:ea typeface="+mn-ea"/>
              <a:cs typeface="Arial" panose="020B0604020202020204" pitchFamily="34" charset="0"/>
            </a:rPr>
            <a:t>The increasing of arrival frequency can have an affect to the queue length if the processing of service is greater than the arrival time as seen in Figure A and C. However, if the arrival frequency does not have any affect to the queue length if the service time is equal to or shorter than the arrival time. </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1" i="0">
              <a:solidFill>
                <a:schemeClr val="tx1"/>
              </a:solidFill>
              <a:effectLst/>
              <a:latin typeface="Arial" panose="020B0604020202020204" pitchFamily="34" charset="0"/>
              <a:ea typeface="+mn-ea"/>
              <a:cs typeface="Arial" panose="020B0604020202020204" pitchFamily="34" charset="0"/>
            </a:rPr>
            <a:t>What changes if service time is reduced?</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0" i="0" baseline="0">
              <a:solidFill>
                <a:schemeClr val="tx1"/>
              </a:solidFill>
              <a:effectLst/>
              <a:latin typeface="Arial" panose="020B0604020202020204" pitchFamily="34" charset="0"/>
              <a:ea typeface="+mn-ea"/>
              <a:cs typeface="Arial" panose="020B0604020202020204" pitchFamily="34" charset="0"/>
            </a:rPr>
            <a:t>If the service time is reduced, the queue length will be decreased since the bank server can cater each customer quickly. </a:t>
          </a:r>
          <a:endParaRPr lang="en-PH" sz="1200" b="0" i="0">
            <a:solidFill>
              <a:schemeClr val="tx1"/>
            </a:solidFill>
            <a:effectLst/>
            <a:latin typeface="Arial" panose="020B0604020202020204" pitchFamily="34" charset="0"/>
            <a:ea typeface="+mn-ea"/>
            <a:cs typeface="Arial" panose="020B0604020202020204" pitchFamily="34" charset="0"/>
          </a:endParaRPr>
        </a:p>
        <a:p>
          <a:br>
            <a:rPr lang="en-PH" sz="1200" b="1">
              <a:latin typeface="Arial" panose="020B0604020202020204" pitchFamily="34" charset="0"/>
              <a:cs typeface="Arial" panose="020B0604020202020204" pitchFamily="34" charset="0"/>
            </a:rPr>
          </a:br>
          <a:r>
            <a:rPr lang="en-PH" sz="1200" b="1" i="0">
              <a:solidFill>
                <a:schemeClr val="tx1"/>
              </a:solidFill>
              <a:effectLst/>
              <a:latin typeface="Arial" panose="020B0604020202020204" pitchFamily="34" charset="0"/>
              <a:ea typeface="+mn-ea"/>
              <a:cs typeface="Arial" panose="020B0604020202020204" pitchFamily="34" charset="0"/>
            </a:rPr>
            <a:t>Is there a “breaking point” where the queue gets out of control?</a:t>
          </a:r>
        </a:p>
        <a:p>
          <a:endParaRPr lang="en-PH" sz="1200" b="0" i="0">
            <a:solidFill>
              <a:schemeClr val="tx1"/>
            </a:solidFill>
            <a:effectLst/>
            <a:latin typeface="Arial" panose="020B0604020202020204" pitchFamily="34" charset="0"/>
            <a:ea typeface="+mn-ea"/>
            <a:cs typeface="Arial" panose="020B0604020202020204" pitchFamily="34" charset="0"/>
          </a:endParaRPr>
        </a:p>
        <a:p>
          <a:r>
            <a:rPr lang="en-PH" sz="1200" b="0" i="0">
              <a:solidFill>
                <a:schemeClr val="tx1"/>
              </a:solidFill>
              <a:effectLst/>
              <a:latin typeface="Arial" panose="020B0604020202020204" pitchFamily="34" charset="0"/>
              <a:ea typeface="+mn-ea"/>
              <a:cs typeface="Arial" panose="020B0604020202020204" pitchFamily="34" charset="0"/>
            </a:rPr>
            <a:t>Yes,</a:t>
          </a:r>
          <a:r>
            <a:rPr lang="en-PH" sz="1200" b="0" i="0" baseline="0">
              <a:solidFill>
                <a:schemeClr val="tx1"/>
              </a:solidFill>
              <a:effectLst/>
              <a:latin typeface="Arial" panose="020B0604020202020204" pitchFamily="34" charset="0"/>
              <a:ea typeface="+mn-ea"/>
              <a:cs typeface="Arial" panose="020B0604020202020204" pitchFamily="34" charset="0"/>
            </a:rPr>
            <a:t> there is a breaking point and that occurs when the arrival rate consistently exceeds the service rate over time. The queue will continuously grow and the waiting time will increase rapidly, and the bank server will cause system overload and degradation of performance. </a:t>
          </a:r>
        </a:p>
        <a:p>
          <a:endParaRPr lang="en-PH" sz="1200" b="0" i="0">
            <a:solidFill>
              <a:schemeClr val="tx1"/>
            </a:solidFill>
            <a:effectLst/>
            <a:latin typeface="Arial" panose="020B0604020202020204" pitchFamily="34" charset="0"/>
            <a:ea typeface="+mn-ea"/>
            <a:cs typeface="Arial" panose="020B0604020202020204" pitchFamily="34" charset="0"/>
          </a:endParaRPr>
        </a:p>
        <a:p>
          <a:r>
            <a:rPr lang="en-PH" sz="1200" b="1" i="0">
              <a:solidFill>
                <a:schemeClr val="tx1"/>
              </a:solidFill>
              <a:effectLst/>
              <a:latin typeface="Arial" panose="020B0604020202020204" pitchFamily="34" charset="0"/>
              <a:ea typeface="+mn-ea"/>
              <a:cs typeface="Arial" panose="020B0604020202020204" pitchFamily="34" charset="0"/>
            </a:rPr>
            <a:t>Recommendations:</a:t>
          </a:r>
        </a:p>
        <a:p>
          <a:endParaRPr lang="en-PH" sz="1200" b="1" i="0">
            <a:solidFill>
              <a:schemeClr val="tx1"/>
            </a:solidFill>
            <a:effectLst/>
            <a:latin typeface="Arial" panose="020B0604020202020204" pitchFamily="34" charset="0"/>
            <a:ea typeface="+mn-ea"/>
            <a:cs typeface="Arial" panose="020B0604020202020204" pitchFamily="34" charset="0"/>
          </a:endParaRPr>
        </a:p>
        <a:p>
          <a:r>
            <a:rPr lang="en-PH" sz="1200" b="0" i="0">
              <a:solidFill>
                <a:schemeClr val="tx1"/>
              </a:solidFill>
              <a:effectLst/>
              <a:latin typeface="Arial" panose="020B0604020202020204" pitchFamily="34" charset="0"/>
              <a:ea typeface="+mn-ea"/>
              <a:cs typeface="Arial" panose="020B0604020202020204" pitchFamily="34" charset="0"/>
            </a:rPr>
            <a:t>To ensure a streamlined banking</a:t>
          </a:r>
          <a:r>
            <a:rPr lang="en-PH" sz="1200" b="0" i="0" baseline="0">
              <a:solidFill>
                <a:schemeClr val="tx1"/>
              </a:solidFill>
              <a:effectLst/>
              <a:latin typeface="Arial" panose="020B0604020202020204" pitchFamily="34" charset="0"/>
              <a:ea typeface="+mn-ea"/>
              <a:cs typeface="Arial" panose="020B0604020202020204" pitchFamily="34" charset="0"/>
            </a:rPr>
            <a:t> services, the processing/service time should be always shorter than or equal to the arrival interval to keep queues manageable. If high arrival frequency is expected, add more bank servers or tellers to prevent system overload and employee burnout. </a:t>
          </a:r>
          <a:endParaRPr lang="en-PH" sz="1200" b="0" i="0">
            <a:solidFill>
              <a:schemeClr val="tx1"/>
            </a:solidFill>
            <a:effectLst/>
            <a:latin typeface="Arial" panose="020B0604020202020204" pitchFamily="34" charset="0"/>
            <a:ea typeface="+mn-ea"/>
            <a:cs typeface="Arial" panose="020B0604020202020204" pitchFamily="34" charset="0"/>
          </a:endParaRPr>
        </a:p>
        <a:p>
          <a:endParaRPr lang="en-PH" sz="1200" b="0" i="0">
            <a:solidFill>
              <a:schemeClr val="tx1"/>
            </a:solidFill>
            <a:effectLst/>
            <a:latin typeface="Arial" panose="020B0604020202020204" pitchFamily="34" charset="0"/>
            <a:ea typeface="+mn-ea"/>
            <a:cs typeface="Arial" panose="020B06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16</xdr:col>
      <xdr:colOff>19050</xdr:colOff>
      <xdr:row>9</xdr:row>
      <xdr:rowOff>28575</xdr:rowOff>
    </xdr:from>
    <xdr:ext cx="4695825" cy="1862689"/>
    <xdr:sp macro="" textlink="">
      <xdr:nvSpPr>
        <xdr:cNvPr id="3" name="TextBox 2">
          <a:extLst>
            <a:ext uri="{FF2B5EF4-FFF2-40B4-BE49-F238E27FC236}">
              <a16:creationId xmlns:a16="http://schemas.microsoft.com/office/drawing/2014/main" id="{0945DD43-9A5E-4A6E-B579-8319382948F0}"/>
            </a:ext>
          </a:extLst>
        </xdr:cNvPr>
        <xdr:cNvSpPr txBox="1"/>
      </xdr:nvSpPr>
      <xdr:spPr>
        <a:xfrm>
          <a:off x="9772650" y="1819275"/>
          <a:ext cx="4695825" cy="186268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200" b="1" i="0">
              <a:solidFill>
                <a:schemeClr val="tx1"/>
              </a:solidFill>
              <a:effectLst/>
              <a:latin typeface="Arial" panose="020B0604020202020204" pitchFamily="34" charset="0"/>
              <a:ea typeface="+mn-ea"/>
              <a:cs typeface="Arial" panose="020B0604020202020204" pitchFamily="34" charset="0"/>
            </a:rPr>
            <a:t>Brief</a:t>
          </a:r>
          <a:r>
            <a:rPr lang="en-PH" sz="1200" b="1" i="0" baseline="0">
              <a:solidFill>
                <a:schemeClr val="tx1"/>
              </a:solidFill>
              <a:effectLst/>
              <a:latin typeface="Arial" panose="020B0604020202020204" pitchFamily="34" charset="0"/>
              <a:ea typeface="+mn-ea"/>
              <a:cs typeface="Arial" panose="020B0604020202020204" pitchFamily="34" charset="0"/>
            </a:rPr>
            <a:t> Summary</a:t>
          </a:r>
        </a:p>
        <a:p>
          <a:endParaRPr lang="en-PH" sz="1200" b="1" i="0" baseline="0">
            <a:solidFill>
              <a:schemeClr val="tx1"/>
            </a:solidFill>
            <a:effectLst/>
            <a:latin typeface="Arial" panose="020B0604020202020204" pitchFamily="34" charset="0"/>
            <a:ea typeface="+mn-ea"/>
            <a:cs typeface="Arial" panose="020B0604020202020204" pitchFamily="34" charset="0"/>
          </a:endParaRPr>
        </a:p>
        <a:p>
          <a:r>
            <a:rPr lang="en-PH" sz="1200" b="0" i="0" baseline="0">
              <a:solidFill>
                <a:schemeClr val="tx1"/>
              </a:solidFill>
              <a:effectLst/>
              <a:latin typeface="Arial" panose="020B0604020202020204" pitchFamily="34" charset="0"/>
              <a:ea typeface="+mn-ea"/>
              <a:cs typeface="Arial" panose="020B0604020202020204" pitchFamily="34" charset="0"/>
            </a:rPr>
            <a:t>This simulation models a single-server queue system where customers arrived at varying intervals (constant and random generated) and require a specific amount of time (constant and random generated) to be served by a bank server or teller. The focus of this simulation is the arrival time, service time, waiting time, queue length at arrival, idle time of the server. The simulation examines what is the effect of the arrival time and service time to the queue length. </a:t>
          </a:r>
          <a:endParaRPr lang="en-PH" sz="1200" b="0" i="0">
            <a:solidFill>
              <a:schemeClr val="tx1"/>
            </a:solidFill>
            <a:effectLst/>
            <a:latin typeface="Arial" panose="020B0604020202020204" pitchFamily="34" charset="0"/>
            <a:ea typeface="+mn-ea"/>
            <a:cs typeface="Arial" panose="020B0604020202020204" pitchFamily="34" charset="0"/>
          </a:endParaRPr>
        </a:p>
      </xdr:txBody>
    </xdr:sp>
    <xdr:clientData/>
  </xdr:oneCellAnchor>
  <xdr:twoCellAnchor>
    <xdr:from>
      <xdr:col>0</xdr:col>
      <xdr:colOff>0</xdr:colOff>
      <xdr:row>1</xdr:row>
      <xdr:rowOff>0</xdr:rowOff>
    </xdr:from>
    <xdr:to>
      <xdr:col>6</xdr:col>
      <xdr:colOff>590550</xdr:colOff>
      <xdr:row>15</xdr:row>
      <xdr:rowOff>171450</xdr:rowOff>
    </xdr:to>
    <xdr:graphicFrame macro="">
      <xdr:nvGraphicFramePr>
        <xdr:cNvPr id="4" name="Chart 3">
          <a:extLst>
            <a:ext uri="{FF2B5EF4-FFF2-40B4-BE49-F238E27FC236}">
              <a16:creationId xmlns:a16="http://schemas.microsoft.com/office/drawing/2014/main" id="{95262D44-3E2C-4A93-9366-94404F794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0</xdr:row>
      <xdr:rowOff>180976</xdr:rowOff>
    </xdr:from>
    <xdr:to>
      <xdr:col>15</xdr:col>
      <xdr:colOff>28575</xdr:colOff>
      <xdr:row>15</xdr:row>
      <xdr:rowOff>171451</xdr:rowOff>
    </xdr:to>
    <xdr:graphicFrame macro="">
      <xdr:nvGraphicFramePr>
        <xdr:cNvPr id="5" name="Chart 4">
          <a:extLst>
            <a:ext uri="{FF2B5EF4-FFF2-40B4-BE49-F238E27FC236}">
              <a16:creationId xmlns:a16="http://schemas.microsoft.com/office/drawing/2014/main" id="{20A8072B-6243-4695-8299-8F6FE3516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9526</xdr:rowOff>
    </xdr:from>
    <xdr:to>
      <xdr:col>7</xdr:col>
      <xdr:colOff>0</xdr:colOff>
      <xdr:row>32</xdr:row>
      <xdr:rowOff>161926</xdr:rowOff>
    </xdr:to>
    <xdr:graphicFrame macro="">
      <xdr:nvGraphicFramePr>
        <xdr:cNvPr id="6" name="Chart 5">
          <a:extLst>
            <a:ext uri="{FF2B5EF4-FFF2-40B4-BE49-F238E27FC236}">
              <a16:creationId xmlns:a16="http://schemas.microsoft.com/office/drawing/2014/main" id="{7FECFDE0-3B06-4B40-869B-82FF0CDA3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9526</xdr:colOff>
      <xdr:row>17</xdr:row>
      <xdr:rowOff>9526</xdr:rowOff>
    </xdr:from>
    <xdr:to>
      <xdr:col>15</xdr:col>
      <xdr:colOff>9526</xdr:colOff>
      <xdr:row>33</xdr:row>
      <xdr:rowOff>19050</xdr:rowOff>
    </xdr:to>
    <xdr:graphicFrame macro="">
      <xdr:nvGraphicFramePr>
        <xdr:cNvPr id="7" name="Chart 6">
          <a:extLst>
            <a:ext uri="{FF2B5EF4-FFF2-40B4-BE49-F238E27FC236}">
              <a16:creationId xmlns:a16="http://schemas.microsoft.com/office/drawing/2014/main" id="{ADC91984-148C-4153-AE3D-00BF12670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28575</xdr:colOff>
      <xdr:row>19</xdr:row>
      <xdr:rowOff>171450</xdr:rowOff>
    </xdr:from>
    <xdr:ext cx="4800600" cy="5403402"/>
    <xdr:sp macro="" textlink="">
      <xdr:nvSpPr>
        <xdr:cNvPr id="8" name="TextBox 7">
          <a:extLst>
            <a:ext uri="{FF2B5EF4-FFF2-40B4-BE49-F238E27FC236}">
              <a16:creationId xmlns:a16="http://schemas.microsoft.com/office/drawing/2014/main" id="{1A2EEA5C-10F9-4B84-89FB-262D2828B3BF}"/>
            </a:ext>
          </a:extLst>
        </xdr:cNvPr>
        <xdr:cNvSpPr txBox="1"/>
      </xdr:nvSpPr>
      <xdr:spPr>
        <a:xfrm>
          <a:off x="9782175" y="3867150"/>
          <a:ext cx="4800600" cy="54034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200" b="1" i="0">
              <a:solidFill>
                <a:schemeClr val="tx1"/>
              </a:solidFill>
              <a:effectLst/>
              <a:latin typeface="Arial" panose="020B0604020202020204" pitchFamily="34" charset="0"/>
              <a:ea typeface="+mn-ea"/>
              <a:cs typeface="Arial" panose="020B0604020202020204" pitchFamily="34" charset="0"/>
            </a:rPr>
            <a:t>How does increasing arrival frequency affect the queue?</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0" i="0" baseline="0">
              <a:solidFill>
                <a:schemeClr val="tx1"/>
              </a:solidFill>
              <a:effectLst/>
              <a:latin typeface="Arial" panose="020B0604020202020204" pitchFamily="34" charset="0"/>
              <a:ea typeface="+mn-ea"/>
              <a:cs typeface="Arial" panose="020B0604020202020204" pitchFamily="34" charset="0"/>
            </a:rPr>
            <a:t>The increasing of arrival frequency can have an affect to the queue length if the processing of service is greater than the arrival time as seen in Figure A and C. However, if the arrival frequency does not have any affect to the queue length if the service time is equal to or shorter than the arrival time. </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1" i="0">
              <a:solidFill>
                <a:schemeClr val="tx1"/>
              </a:solidFill>
              <a:effectLst/>
              <a:latin typeface="Arial" panose="020B0604020202020204" pitchFamily="34" charset="0"/>
              <a:ea typeface="+mn-ea"/>
              <a:cs typeface="Arial" panose="020B0604020202020204" pitchFamily="34" charset="0"/>
            </a:rPr>
            <a:t>What changes if service time is reduced?</a:t>
          </a:r>
        </a:p>
        <a:p>
          <a:endParaRPr lang="en-PH" sz="1200" b="0" i="0" baseline="0">
            <a:solidFill>
              <a:schemeClr val="tx1"/>
            </a:solidFill>
            <a:effectLst/>
            <a:latin typeface="Arial" panose="020B0604020202020204" pitchFamily="34" charset="0"/>
            <a:ea typeface="+mn-ea"/>
            <a:cs typeface="Arial" panose="020B0604020202020204" pitchFamily="34" charset="0"/>
          </a:endParaRPr>
        </a:p>
        <a:p>
          <a:r>
            <a:rPr lang="en-PH" sz="1200" b="0" i="0" baseline="0">
              <a:solidFill>
                <a:schemeClr val="tx1"/>
              </a:solidFill>
              <a:effectLst/>
              <a:latin typeface="Arial" panose="020B0604020202020204" pitchFamily="34" charset="0"/>
              <a:ea typeface="+mn-ea"/>
              <a:cs typeface="Arial" panose="020B0604020202020204" pitchFamily="34" charset="0"/>
            </a:rPr>
            <a:t>If the service time is reduced, the queue length will be decreased since the bank server can cater each customer quickly. </a:t>
          </a:r>
          <a:endParaRPr lang="en-PH" sz="1200" b="0" i="0">
            <a:solidFill>
              <a:schemeClr val="tx1"/>
            </a:solidFill>
            <a:effectLst/>
            <a:latin typeface="Arial" panose="020B0604020202020204" pitchFamily="34" charset="0"/>
            <a:ea typeface="+mn-ea"/>
            <a:cs typeface="Arial" panose="020B0604020202020204" pitchFamily="34" charset="0"/>
          </a:endParaRPr>
        </a:p>
        <a:p>
          <a:br>
            <a:rPr lang="en-PH" sz="1200" b="1">
              <a:latin typeface="Arial" panose="020B0604020202020204" pitchFamily="34" charset="0"/>
              <a:cs typeface="Arial" panose="020B0604020202020204" pitchFamily="34" charset="0"/>
            </a:rPr>
          </a:br>
          <a:r>
            <a:rPr lang="en-PH" sz="1200" b="1" i="0">
              <a:solidFill>
                <a:schemeClr val="tx1"/>
              </a:solidFill>
              <a:effectLst/>
              <a:latin typeface="Arial" panose="020B0604020202020204" pitchFamily="34" charset="0"/>
              <a:ea typeface="+mn-ea"/>
              <a:cs typeface="Arial" panose="020B0604020202020204" pitchFamily="34" charset="0"/>
            </a:rPr>
            <a:t>Is there a “breaking point” where the queue gets out of control?</a:t>
          </a:r>
        </a:p>
        <a:p>
          <a:endParaRPr lang="en-PH" sz="1200" b="0" i="0">
            <a:solidFill>
              <a:schemeClr val="tx1"/>
            </a:solidFill>
            <a:effectLst/>
            <a:latin typeface="Arial" panose="020B0604020202020204" pitchFamily="34" charset="0"/>
            <a:ea typeface="+mn-ea"/>
            <a:cs typeface="Arial" panose="020B0604020202020204" pitchFamily="34" charset="0"/>
          </a:endParaRPr>
        </a:p>
        <a:p>
          <a:r>
            <a:rPr lang="en-PH" sz="1200" b="0" i="0">
              <a:solidFill>
                <a:schemeClr val="tx1"/>
              </a:solidFill>
              <a:effectLst/>
              <a:latin typeface="Arial" panose="020B0604020202020204" pitchFamily="34" charset="0"/>
              <a:ea typeface="+mn-ea"/>
              <a:cs typeface="Arial" panose="020B0604020202020204" pitchFamily="34" charset="0"/>
            </a:rPr>
            <a:t>Yes,</a:t>
          </a:r>
          <a:r>
            <a:rPr lang="en-PH" sz="1200" b="0" i="0" baseline="0">
              <a:solidFill>
                <a:schemeClr val="tx1"/>
              </a:solidFill>
              <a:effectLst/>
              <a:latin typeface="Arial" panose="020B0604020202020204" pitchFamily="34" charset="0"/>
              <a:ea typeface="+mn-ea"/>
              <a:cs typeface="Arial" panose="020B0604020202020204" pitchFamily="34" charset="0"/>
            </a:rPr>
            <a:t> there is a breaking point and that occurs when the arrival rate consistently exceeds the service rate over time. The queue will continuously grow and the waiting time will increase rapidly, and the bank server will cause system overload and degradation of performance. </a:t>
          </a:r>
        </a:p>
        <a:p>
          <a:endParaRPr lang="en-PH" sz="1200" b="0" i="0">
            <a:solidFill>
              <a:schemeClr val="tx1"/>
            </a:solidFill>
            <a:effectLst/>
            <a:latin typeface="Arial" panose="020B0604020202020204" pitchFamily="34" charset="0"/>
            <a:ea typeface="+mn-ea"/>
            <a:cs typeface="Arial" panose="020B0604020202020204" pitchFamily="34" charset="0"/>
          </a:endParaRPr>
        </a:p>
        <a:p>
          <a:r>
            <a:rPr lang="en-PH" sz="1200" b="1" i="0">
              <a:solidFill>
                <a:schemeClr val="tx1"/>
              </a:solidFill>
              <a:effectLst/>
              <a:latin typeface="Arial" panose="020B0604020202020204" pitchFamily="34" charset="0"/>
              <a:ea typeface="+mn-ea"/>
              <a:cs typeface="Arial" panose="020B0604020202020204" pitchFamily="34" charset="0"/>
            </a:rPr>
            <a:t>Recommendations:</a:t>
          </a:r>
        </a:p>
        <a:p>
          <a:endParaRPr lang="en-PH" sz="1200" b="1" i="0">
            <a:solidFill>
              <a:schemeClr val="tx1"/>
            </a:solidFill>
            <a:effectLst/>
            <a:latin typeface="Arial" panose="020B0604020202020204" pitchFamily="34" charset="0"/>
            <a:ea typeface="+mn-ea"/>
            <a:cs typeface="Arial" panose="020B0604020202020204" pitchFamily="34" charset="0"/>
          </a:endParaRPr>
        </a:p>
        <a:p>
          <a:r>
            <a:rPr lang="en-PH" sz="1200" b="0" i="0">
              <a:solidFill>
                <a:schemeClr val="tx1"/>
              </a:solidFill>
              <a:effectLst/>
              <a:latin typeface="Arial" panose="020B0604020202020204" pitchFamily="34" charset="0"/>
              <a:ea typeface="+mn-ea"/>
              <a:cs typeface="Arial" panose="020B0604020202020204" pitchFamily="34" charset="0"/>
            </a:rPr>
            <a:t>To ensure a streamlined banking</a:t>
          </a:r>
          <a:r>
            <a:rPr lang="en-PH" sz="1200" b="0" i="0" baseline="0">
              <a:solidFill>
                <a:schemeClr val="tx1"/>
              </a:solidFill>
              <a:effectLst/>
              <a:latin typeface="Arial" panose="020B0604020202020204" pitchFamily="34" charset="0"/>
              <a:ea typeface="+mn-ea"/>
              <a:cs typeface="Arial" panose="020B0604020202020204" pitchFamily="34" charset="0"/>
            </a:rPr>
            <a:t> services, the processing/service time should be always shorter than or equal to the arrival interval to keep queues manageable. If high arrival frequency is expected, add more bank servers or tellers to prevent system overload and employee burnout. </a:t>
          </a:r>
          <a:endParaRPr lang="en-PH" sz="1200" b="0" i="0">
            <a:solidFill>
              <a:schemeClr val="tx1"/>
            </a:solidFill>
            <a:effectLst/>
            <a:latin typeface="Arial" panose="020B0604020202020204" pitchFamily="34" charset="0"/>
            <a:ea typeface="+mn-ea"/>
            <a:cs typeface="Arial" panose="020B0604020202020204" pitchFamily="34" charset="0"/>
          </a:endParaRPr>
        </a:p>
        <a:p>
          <a:endParaRPr lang="en-PH" sz="1200" b="0" i="0">
            <a:solidFill>
              <a:schemeClr val="tx1"/>
            </a:solidFill>
            <a:effectLst/>
            <a:latin typeface="Arial" panose="020B0604020202020204" pitchFamily="34" charset="0"/>
            <a:ea typeface="+mn-ea"/>
            <a:cs typeface="Arial" panose="020B0604020202020204"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E6E5-A0EA-4089-B531-D7C40003ED66}">
  <dimension ref="A1:Y71"/>
  <sheetViews>
    <sheetView tabSelected="1" topLeftCell="A55" workbookViewId="0">
      <selection activeCell="H38" sqref="H38"/>
    </sheetView>
  </sheetViews>
  <sheetFormatPr defaultRowHeight="15.75" x14ac:dyDescent="0.25"/>
  <cols>
    <col min="1" max="1" width="13" style="4" customWidth="1"/>
    <col min="2" max="2" width="9.140625" style="4"/>
    <col min="3" max="3" width="12.42578125" style="9" customWidth="1"/>
    <col min="4" max="4" width="14.140625" style="4" customWidth="1"/>
    <col min="5" max="10" width="9.140625" style="4"/>
    <col min="11" max="11" width="24.28515625" style="2" bestFit="1" customWidth="1"/>
    <col min="12" max="12" width="10.42578125" style="4" bestFit="1" customWidth="1"/>
    <col min="13" max="16384" width="9.140625" style="4"/>
  </cols>
  <sheetData>
    <row r="1" spans="1:25" s="2" customFormat="1" x14ac:dyDescent="0.25">
      <c r="A1" s="2" t="s">
        <v>9</v>
      </c>
      <c r="B1" s="2" t="s">
        <v>11</v>
      </c>
      <c r="C1" s="3"/>
    </row>
    <row r="2" spans="1:25" ht="105" x14ac:dyDescent="0.25">
      <c r="A2" s="12" t="s">
        <v>0</v>
      </c>
      <c r="B2" s="12" t="s">
        <v>6</v>
      </c>
      <c r="C2" s="13" t="s">
        <v>7</v>
      </c>
      <c r="D2" s="12" t="s">
        <v>8</v>
      </c>
      <c r="E2" s="12" t="s">
        <v>2</v>
      </c>
      <c r="F2" s="12" t="s">
        <v>3</v>
      </c>
      <c r="G2" s="12" t="s">
        <v>1</v>
      </c>
      <c r="H2" s="12" t="s">
        <v>4</v>
      </c>
      <c r="I2" s="12" t="s">
        <v>5</v>
      </c>
      <c r="Q2" s="5"/>
      <c r="R2" s="5"/>
      <c r="S2" s="5"/>
      <c r="T2" s="5"/>
      <c r="U2" s="5"/>
      <c r="V2" s="5"/>
      <c r="W2" s="5"/>
      <c r="X2" s="5"/>
      <c r="Y2" s="5"/>
    </row>
    <row r="3" spans="1:25" x14ac:dyDescent="0.25">
      <c r="A3" s="15">
        <v>1</v>
      </c>
      <c r="B3" s="11">
        <v>0</v>
      </c>
      <c r="C3" s="10">
        <v>0</v>
      </c>
      <c r="D3" s="11">
        <v>3</v>
      </c>
      <c r="E3" s="11">
        <v>0</v>
      </c>
      <c r="F3" s="11">
        <f>D3+E3</f>
        <v>3</v>
      </c>
      <c r="G3" s="11">
        <v>0</v>
      </c>
      <c r="H3" s="11">
        <v>0</v>
      </c>
      <c r="I3" s="11">
        <v>0</v>
      </c>
      <c r="K3" s="2" t="s">
        <v>22</v>
      </c>
      <c r="L3" s="4">
        <f>SUM(G3:G17)</f>
        <v>105</v>
      </c>
      <c r="Q3" s="6"/>
      <c r="R3" s="6"/>
      <c r="S3" s="6"/>
      <c r="T3" s="6"/>
      <c r="U3" s="6"/>
      <c r="V3" s="7"/>
      <c r="W3" s="6"/>
      <c r="X3" s="6"/>
      <c r="Y3" s="6"/>
    </row>
    <row r="4" spans="1:25" x14ac:dyDescent="0.25">
      <c r="A4" s="15">
        <v>2</v>
      </c>
      <c r="B4" s="11">
        <v>2</v>
      </c>
      <c r="C4" s="10">
        <f>C3+B4</f>
        <v>2</v>
      </c>
      <c r="D4" s="11">
        <v>3</v>
      </c>
      <c r="E4" s="11">
        <f>F3</f>
        <v>3</v>
      </c>
      <c r="F4" s="11">
        <f t="shared" ref="F4:F17" si="0">D4+E4</f>
        <v>6</v>
      </c>
      <c r="G4" s="11">
        <f>F3-C4</f>
        <v>1</v>
      </c>
      <c r="H4" s="11">
        <f>COUNTIF($F$3:F3, "&gt;" &amp; C4)</f>
        <v>1</v>
      </c>
      <c r="I4" s="11">
        <f>ABS(E4-F3)</f>
        <v>0</v>
      </c>
      <c r="K4" s="2" t="s">
        <v>14</v>
      </c>
      <c r="L4" s="4">
        <f>AVERAGE(G3:G17)</f>
        <v>7</v>
      </c>
      <c r="Q4" s="6"/>
      <c r="R4" s="6"/>
      <c r="S4" s="6"/>
      <c r="T4" s="6"/>
      <c r="U4" s="7"/>
      <c r="V4" s="7"/>
      <c r="W4" s="6"/>
      <c r="X4" s="6"/>
      <c r="Y4" s="6"/>
    </row>
    <row r="5" spans="1:25" x14ac:dyDescent="0.25">
      <c r="A5" s="15">
        <v>3</v>
      </c>
      <c r="B5" s="11">
        <v>2</v>
      </c>
      <c r="C5" s="10">
        <f t="shared" ref="C5:C17" si="1">C4+B5</f>
        <v>4</v>
      </c>
      <c r="D5" s="11">
        <v>3</v>
      </c>
      <c r="E5" s="11">
        <f t="shared" ref="E5:E17" si="2">F4</f>
        <v>6</v>
      </c>
      <c r="F5" s="11">
        <f t="shared" si="0"/>
        <v>9</v>
      </c>
      <c r="G5" s="11">
        <f>F4-C5</f>
        <v>2</v>
      </c>
      <c r="H5" s="11">
        <f>COUNTIF($F$3:F4, "&gt;" &amp; C5)</f>
        <v>1</v>
      </c>
      <c r="I5" s="11">
        <f t="shared" ref="I5:I17" si="3">ABS(E5-F4)</f>
        <v>0</v>
      </c>
      <c r="K5" s="2" t="s">
        <v>15</v>
      </c>
      <c r="L5" s="4">
        <f>MAX(H4:H18)</f>
        <v>5</v>
      </c>
      <c r="Q5" s="6"/>
      <c r="R5" s="6"/>
      <c r="S5" s="6"/>
      <c r="T5" s="6"/>
      <c r="U5" s="6"/>
      <c r="V5" s="6"/>
      <c r="W5" s="6"/>
      <c r="X5" s="6"/>
      <c r="Y5" s="6"/>
    </row>
    <row r="6" spans="1:25" x14ac:dyDescent="0.25">
      <c r="A6" s="15">
        <v>4</v>
      </c>
      <c r="B6" s="11">
        <v>2</v>
      </c>
      <c r="C6" s="10">
        <f t="shared" si="1"/>
        <v>6</v>
      </c>
      <c r="D6" s="11">
        <v>3</v>
      </c>
      <c r="E6" s="11">
        <f t="shared" si="2"/>
        <v>9</v>
      </c>
      <c r="F6" s="11">
        <f t="shared" si="0"/>
        <v>12</v>
      </c>
      <c r="G6" s="11">
        <f>F5-C6</f>
        <v>3</v>
      </c>
      <c r="H6" s="11">
        <f>COUNTIF($F$3:F5, "&gt;" &amp; C6)</f>
        <v>1</v>
      </c>
      <c r="I6" s="11">
        <f t="shared" si="3"/>
        <v>0</v>
      </c>
      <c r="Q6" s="6"/>
      <c r="R6" s="6"/>
      <c r="S6" s="6"/>
      <c r="T6" s="6"/>
      <c r="U6" s="6"/>
      <c r="V6" s="6"/>
      <c r="W6" s="6"/>
      <c r="X6" s="6"/>
      <c r="Y6" s="6"/>
    </row>
    <row r="7" spans="1:25" x14ac:dyDescent="0.25">
      <c r="A7" s="15">
        <v>5</v>
      </c>
      <c r="B7" s="11">
        <v>2</v>
      </c>
      <c r="C7" s="10">
        <f t="shared" si="1"/>
        <v>8</v>
      </c>
      <c r="D7" s="11">
        <v>3</v>
      </c>
      <c r="E7" s="11">
        <f t="shared" si="2"/>
        <v>12</v>
      </c>
      <c r="F7" s="11">
        <f t="shared" si="0"/>
        <v>15</v>
      </c>
      <c r="G7" s="11">
        <f>F6-C7</f>
        <v>4</v>
      </c>
      <c r="H7" s="11">
        <f>COUNTIF($F$3:F6, "&gt;" &amp; C7)</f>
        <v>2</v>
      </c>
      <c r="I7" s="11">
        <f t="shared" si="3"/>
        <v>0</v>
      </c>
      <c r="K7" s="2" t="s">
        <v>16</v>
      </c>
      <c r="Q7" s="6"/>
      <c r="R7" s="6"/>
      <c r="S7" s="6"/>
      <c r="T7" s="6"/>
      <c r="U7" s="6"/>
      <c r="V7" s="6"/>
      <c r="W7" s="6"/>
      <c r="X7" s="6"/>
      <c r="Y7" s="6"/>
    </row>
    <row r="8" spans="1:25" x14ac:dyDescent="0.25">
      <c r="A8" s="15">
        <v>6</v>
      </c>
      <c r="B8" s="11">
        <v>2</v>
      </c>
      <c r="C8" s="10">
        <f t="shared" si="1"/>
        <v>10</v>
      </c>
      <c r="D8" s="11">
        <v>3</v>
      </c>
      <c r="E8" s="11">
        <f t="shared" si="2"/>
        <v>15</v>
      </c>
      <c r="F8" s="11">
        <f t="shared" si="0"/>
        <v>18</v>
      </c>
      <c r="G8" s="11">
        <f t="shared" ref="G8:G17" si="4">F7-C8</f>
        <v>5</v>
      </c>
      <c r="H8" s="11">
        <f>COUNTIF($F$3:F7, "&gt;" &amp; C8)</f>
        <v>2</v>
      </c>
      <c r="I8" s="11">
        <f t="shared" si="3"/>
        <v>0</v>
      </c>
      <c r="K8" s="2" t="s">
        <v>19</v>
      </c>
      <c r="L8" s="4">
        <f>SUM(D3:D17)</f>
        <v>45</v>
      </c>
      <c r="Q8" s="6"/>
      <c r="R8" s="6"/>
      <c r="S8" s="6"/>
      <c r="T8" s="6"/>
      <c r="U8" s="6"/>
      <c r="V8" s="6"/>
      <c r="W8" s="6"/>
      <c r="X8" s="6"/>
      <c r="Y8" s="6"/>
    </row>
    <row r="9" spans="1:25" x14ac:dyDescent="0.25">
      <c r="A9" s="15">
        <v>7</v>
      </c>
      <c r="B9" s="11">
        <v>2</v>
      </c>
      <c r="C9" s="10">
        <f t="shared" si="1"/>
        <v>12</v>
      </c>
      <c r="D9" s="11">
        <v>3</v>
      </c>
      <c r="E9" s="11">
        <f t="shared" si="2"/>
        <v>18</v>
      </c>
      <c r="F9" s="11">
        <f t="shared" si="0"/>
        <v>21</v>
      </c>
      <c r="G9" s="11">
        <f t="shared" si="4"/>
        <v>6</v>
      </c>
      <c r="H9" s="11">
        <f>COUNTIF($F$3:F8, "&gt;" &amp; C9)</f>
        <v>2</v>
      </c>
      <c r="I9" s="11">
        <f t="shared" si="3"/>
        <v>0</v>
      </c>
      <c r="K9" s="2" t="s">
        <v>20</v>
      </c>
      <c r="L9" s="4">
        <f>SUM(D3:D17)</f>
        <v>45</v>
      </c>
      <c r="Q9" s="6"/>
      <c r="R9" s="6"/>
      <c r="S9" s="6"/>
      <c r="T9" s="6"/>
      <c r="U9" s="6"/>
      <c r="V9" s="6"/>
      <c r="W9" s="6"/>
      <c r="X9" s="6"/>
      <c r="Y9" s="6"/>
    </row>
    <row r="10" spans="1:25" x14ac:dyDescent="0.25">
      <c r="A10" s="15">
        <v>8</v>
      </c>
      <c r="B10" s="11">
        <v>2</v>
      </c>
      <c r="C10" s="10">
        <f t="shared" si="1"/>
        <v>14</v>
      </c>
      <c r="D10" s="11">
        <v>3</v>
      </c>
      <c r="E10" s="11">
        <f t="shared" si="2"/>
        <v>21</v>
      </c>
      <c r="F10" s="11">
        <f t="shared" si="0"/>
        <v>24</v>
      </c>
      <c r="G10" s="11">
        <f t="shared" si="4"/>
        <v>7</v>
      </c>
      <c r="H10" s="11">
        <f>COUNTIF($F$3:F9, "&gt;" &amp; C10)</f>
        <v>3</v>
      </c>
      <c r="I10" s="11">
        <f t="shared" si="3"/>
        <v>0</v>
      </c>
    </row>
    <row r="11" spans="1:25" x14ac:dyDescent="0.25">
      <c r="A11" s="15">
        <v>9</v>
      </c>
      <c r="B11" s="11">
        <v>2</v>
      </c>
      <c r="C11" s="10">
        <f t="shared" si="1"/>
        <v>16</v>
      </c>
      <c r="D11" s="11">
        <v>3</v>
      </c>
      <c r="E11" s="11">
        <f t="shared" si="2"/>
        <v>24</v>
      </c>
      <c r="F11" s="11">
        <f t="shared" si="0"/>
        <v>27</v>
      </c>
      <c r="G11" s="11">
        <f t="shared" si="4"/>
        <v>8</v>
      </c>
      <c r="H11" s="11">
        <f>COUNTIF($F$3:F10, "&gt;" &amp; C11)</f>
        <v>3</v>
      </c>
      <c r="I11" s="11">
        <f t="shared" si="3"/>
        <v>0</v>
      </c>
    </row>
    <row r="12" spans="1:25" x14ac:dyDescent="0.25">
      <c r="A12" s="15">
        <v>10</v>
      </c>
      <c r="B12" s="11">
        <v>2</v>
      </c>
      <c r="C12" s="10">
        <f t="shared" si="1"/>
        <v>18</v>
      </c>
      <c r="D12" s="11">
        <v>3</v>
      </c>
      <c r="E12" s="11">
        <f t="shared" si="2"/>
        <v>27</v>
      </c>
      <c r="F12" s="11">
        <f t="shared" si="0"/>
        <v>30</v>
      </c>
      <c r="G12" s="11">
        <f t="shared" si="4"/>
        <v>9</v>
      </c>
      <c r="H12" s="11">
        <f>COUNTIF($F$3:F11, "&gt;" &amp; C12)</f>
        <v>3</v>
      </c>
      <c r="I12" s="11">
        <f t="shared" si="3"/>
        <v>0</v>
      </c>
    </row>
    <row r="13" spans="1:25" x14ac:dyDescent="0.25">
      <c r="A13" s="15">
        <v>11</v>
      </c>
      <c r="B13" s="11">
        <v>2</v>
      </c>
      <c r="C13" s="10">
        <f t="shared" si="1"/>
        <v>20</v>
      </c>
      <c r="D13" s="11">
        <v>3</v>
      </c>
      <c r="E13" s="11">
        <f t="shared" si="2"/>
        <v>30</v>
      </c>
      <c r="F13" s="11">
        <f t="shared" si="0"/>
        <v>33</v>
      </c>
      <c r="G13" s="11">
        <f t="shared" si="4"/>
        <v>10</v>
      </c>
      <c r="H13" s="11">
        <f>COUNTIF($F$3:F12, "&gt;" &amp; C13)</f>
        <v>4</v>
      </c>
      <c r="I13" s="11">
        <f t="shared" si="3"/>
        <v>0</v>
      </c>
    </row>
    <row r="14" spans="1:25" x14ac:dyDescent="0.25">
      <c r="A14" s="15">
        <v>12</v>
      </c>
      <c r="B14" s="11">
        <v>2</v>
      </c>
      <c r="C14" s="10">
        <f t="shared" si="1"/>
        <v>22</v>
      </c>
      <c r="D14" s="11">
        <v>3</v>
      </c>
      <c r="E14" s="11">
        <f t="shared" si="2"/>
        <v>33</v>
      </c>
      <c r="F14" s="11">
        <f t="shared" si="0"/>
        <v>36</v>
      </c>
      <c r="G14" s="11">
        <f t="shared" si="4"/>
        <v>11</v>
      </c>
      <c r="H14" s="11">
        <f>COUNTIF($F$3:F13, "&gt;" &amp; C14)</f>
        <v>4</v>
      </c>
      <c r="I14" s="11">
        <f t="shared" si="3"/>
        <v>0</v>
      </c>
    </row>
    <row r="15" spans="1:25" x14ac:dyDescent="0.25">
      <c r="A15" s="15">
        <v>13</v>
      </c>
      <c r="B15" s="11">
        <v>2</v>
      </c>
      <c r="C15" s="10">
        <f t="shared" si="1"/>
        <v>24</v>
      </c>
      <c r="D15" s="11">
        <v>3</v>
      </c>
      <c r="E15" s="11">
        <f t="shared" si="2"/>
        <v>36</v>
      </c>
      <c r="F15" s="11">
        <f t="shared" si="0"/>
        <v>39</v>
      </c>
      <c r="G15" s="11">
        <f t="shared" si="4"/>
        <v>12</v>
      </c>
      <c r="H15" s="11">
        <f>COUNTIF($F$3:F14, "&gt;" &amp; C15)</f>
        <v>4</v>
      </c>
      <c r="I15" s="11">
        <f t="shared" si="3"/>
        <v>0</v>
      </c>
    </row>
    <row r="16" spans="1:25" x14ac:dyDescent="0.25">
      <c r="A16" s="15">
        <v>14</v>
      </c>
      <c r="B16" s="11">
        <v>2</v>
      </c>
      <c r="C16" s="10">
        <f t="shared" si="1"/>
        <v>26</v>
      </c>
      <c r="D16" s="11">
        <v>3</v>
      </c>
      <c r="E16" s="11">
        <f t="shared" si="2"/>
        <v>39</v>
      </c>
      <c r="F16" s="11">
        <f t="shared" si="0"/>
        <v>42</v>
      </c>
      <c r="G16" s="11">
        <f t="shared" si="4"/>
        <v>13</v>
      </c>
      <c r="H16" s="11">
        <f>COUNTIF($F$3:F15, "&gt;" &amp; C16)</f>
        <v>5</v>
      </c>
      <c r="I16" s="11">
        <f t="shared" si="3"/>
        <v>0</v>
      </c>
    </row>
    <row r="17" spans="1:25" x14ac:dyDescent="0.25">
      <c r="A17" s="15">
        <v>15</v>
      </c>
      <c r="B17" s="11">
        <v>2</v>
      </c>
      <c r="C17" s="10">
        <f t="shared" si="1"/>
        <v>28</v>
      </c>
      <c r="D17" s="11">
        <v>3</v>
      </c>
      <c r="E17" s="11">
        <f t="shared" si="2"/>
        <v>42</v>
      </c>
      <c r="F17" s="11">
        <f t="shared" si="0"/>
        <v>45</v>
      </c>
      <c r="G17" s="11">
        <f t="shared" si="4"/>
        <v>14</v>
      </c>
      <c r="H17" s="11">
        <f>COUNTIF($F$3:F16, "&gt;" &amp; C17)</f>
        <v>5</v>
      </c>
      <c r="I17" s="11">
        <f t="shared" si="3"/>
        <v>0</v>
      </c>
    </row>
    <row r="19" spans="1:25" s="2" customFormat="1" x14ac:dyDescent="0.25">
      <c r="A19" s="2" t="s">
        <v>10</v>
      </c>
      <c r="B19" s="2" t="s">
        <v>17</v>
      </c>
      <c r="C19" s="8"/>
    </row>
    <row r="20" spans="1:25" ht="105" x14ac:dyDescent="0.25">
      <c r="A20" s="12" t="s">
        <v>0</v>
      </c>
      <c r="B20" s="12" t="s">
        <v>6</v>
      </c>
      <c r="C20" s="13" t="s">
        <v>7</v>
      </c>
      <c r="D20" s="12" t="s">
        <v>8</v>
      </c>
      <c r="E20" s="12" t="s">
        <v>2</v>
      </c>
      <c r="F20" s="12" t="s">
        <v>3</v>
      </c>
      <c r="G20" s="12" t="s">
        <v>1</v>
      </c>
      <c r="H20" s="12" t="s">
        <v>4</v>
      </c>
      <c r="I20" s="12" t="s">
        <v>5</v>
      </c>
      <c r="Q20" s="5"/>
      <c r="R20" s="5"/>
      <c r="S20" s="5"/>
      <c r="T20" s="5"/>
      <c r="U20" s="5"/>
      <c r="V20" s="5"/>
      <c r="W20" s="5"/>
      <c r="X20" s="5"/>
      <c r="Y20" s="5"/>
    </row>
    <row r="21" spans="1:25" x14ac:dyDescent="0.25">
      <c r="A21" s="14">
        <v>1</v>
      </c>
      <c r="B21" s="10">
        <v>0</v>
      </c>
      <c r="C21" s="10">
        <v>0</v>
      </c>
      <c r="D21" s="10">
        <v>2</v>
      </c>
      <c r="E21" s="10">
        <v>0</v>
      </c>
      <c r="F21" s="10">
        <f>D21+E21</f>
        <v>2</v>
      </c>
      <c r="G21" s="10">
        <v>0</v>
      </c>
      <c r="H21" s="10">
        <v>0</v>
      </c>
      <c r="I21" s="10">
        <v>0</v>
      </c>
      <c r="K21" s="2" t="s">
        <v>22</v>
      </c>
      <c r="L21" s="4">
        <f>AVERAGE(G21:G35)</f>
        <v>0</v>
      </c>
      <c r="Q21" s="6"/>
      <c r="R21" s="6"/>
      <c r="S21" s="6"/>
      <c r="T21" s="6"/>
      <c r="U21" s="6"/>
      <c r="V21" s="7"/>
      <c r="W21" s="6"/>
      <c r="X21" s="6"/>
      <c r="Y21" s="6"/>
    </row>
    <row r="22" spans="1:25" x14ac:dyDescent="0.25">
      <c r="A22" s="14">
        <v>2</v>
      </c>
      <c r="B22" s="10">
        <v>2</v>
      </c>
      <c r="C22" s="10">
        <f>SUM(C21+B22)</f>
        <v>2</v>
      </c>
      <c r="D22" s="10">
        <v>2</v>
      </c>
      <c r="E22" s="10">
        <f>F21</f>
        <v>2</v>
      </c>
      <c r="F22" s="10">
        <f t="shared" ref="F22:F35" si="5">D22+E22</f>
        <v>4</v>
      </c>
      <c r="G22" s="10">
        <f>F21-C22</f>
        <v>0</v>
      </c>
      <c r="H22" s="10">
        <f>COUNTIF($F$21:F21, "&gt;" &amp; C22)</f>
        <v>0</v>
      </c>
      <c r="I22" s="10">
        <f>ABS(E22-F21)</f>
        <v>0</v>
      </c>
      <c r="K22" s="2" t="s">
        <v>14</v>
      </c>
      <c r="L22" s="4">
        <f>AVERAGE(G21:G35)</f>
        <v>0</v>
      </c>
      <c r="Q22" s="6"/>
      <c r="R22" s="6"/>
      <c r="S22" s="6"/>
      <c r="T22" s="6"/>
      <c r="U22" s="7"/>
      <c r="V22" s="7"/>
      <c r="W22" s="6"/>
      <c r="X22" s="6"/>
      <c r="Y22" s="6"/>
    </row>
    <row r="23" spans="1:25" x14ac:dyDescent="0.25">
      <c r="A23" s="14">
        <v>3</v>
      </c>
      <c r="B23" s="10">
        <v>2</v>
      </c>
      <c r="C23" s="10">
        <f>SUM(C22+B23)</f>
        <v>4</v>
      </c>
      <c r="D23" s="10">
        <v>2</v>
      </c>
      <c r="E23" s="10">
        <f>F22</f>
        <v>4</v>
      </c>
      <c r="F23" s="10">
        <f t="shared" si="5"/>
        <v>6</v>
      </c>
      <c r="G23" s="10">
        <f>F22-C23</f>
        <v>0</v>
      </c>
      <c r="H23" s="10">
        <f>COUNTIF($F$21:F22, "&gt;" &amp; C23)</f>
        <v>0</v>
      </c>
      <c r="I23" s="10">
        <f t="shared" ref="I23:I35" si="6">ABS(E23-F22)</f>
        <v>0</v>
      </c>
      <c r="K23" s="2" t="s">
        <v>15</v>
      </c>
      <c r="L23" s="4">
        <f>MAX(H21:H35)</f>
        <v>0</v>
      </c>
      <c r="Q23" s="6"/>
      <c r="R23" s="6"/>
      <c r="S23" s="6"/>
      <c r="T23" s="6"/>
      <c r="U23" s="6"/>
      <c r="V23" s="6"/>
      <c r="W23" s="6"/>
      <c r="X23" s="6"/>
      <c r="Y23" s="6"/>
    </row>
    <row r="24" spans="1:25" x14ac:dyDescent="0.25">
      <c r="A24" s="14">
        <v>4</v>
      </c>
      <c r="B24" s="10">
        <v>2</v>
      </c>
      <c r="C24" s="10">
        <f t="shared" ref="C24:C35" si="7">SUM(C23+B24)</f>
        <v>6</v>
      </c>
      <c r="D24" s="10">
        <v>2</v>
      </c>
      <c r="E24" s="10">
        <f t="shared" ref="E24:E35" si="8">F23</f>
        <v>6</v>
      </c>
      <c r="F24" s="10">
        <f t="shared" si="5"/>
        <v>8</v>
      </c>
      <c r="G24" s="10">
        <f t="shared" ref="G24:G35" si="9">F23-C24</f>
        <v>0</v>
      </c>
      <c r="H24" s="10">
        <f>COUNTIF($F$21:F23, "&gt;" &amp; C24)</f>
        <v>0</v>
      </c>
      <c r="I24" s="10">
        <f t="shared" si="6"/>
        <v>0</v>
      </c>
      <c r="Q24" s="6"/>
      <c r="R24" s="6"/>
      <c r="S24" s="6"/>
      <c r="T24" s="6"/>
      <c r="U24" s="6"/>
      <c r="V24" s="6"/>
      <c r="W24" s="6"/>
      <c r="X24" s="6"/>
      <c r="Y24" s="6"/>
    </row>
    <row r="25" spans="1:25" x14ac:dyDescent="0.25">
      <c r="A25" s="14">
        <v>5</v>
      </c>
      <c r="B25" s="10">
        <v>2</v>
      </c>
      <c r="C25" s="10">
        <f t="shared" si="7"/>
        <v>8</v>
      </c>
      <c r="D25" s="10">
        <v>2</v>
      </c>
      <c r="E25" s="10">
        <f t="shared" si="8"/>
        <v>8</v>
      </c>
      <c r="F25" s="10">
        <f t="shared" si="5"/>
        <v>10</v>
      </c>
      <c r="G25" s="10">
        <f>F24-C25</f>
        <v>0</v>
      </c>
      <c r="H25" s="10">
        <f>COUNTIF($F$21:F24, "&gt;" &amp; C25)</f>
        <v>0</v>
      </c>
      <c r="I25" s="10">
        <f t="shared" si="6"/>
        <v>0</v>
      </c>
      <c r="K25" s="2" t="s">
        <v>16</v>
      </c>
      <c r="Q25" s="6"/>
      <c r="R25" s="6"/>
      <c r="S25" s="6"/>
      <c r="T25" s="6"/>
      <c r="U25" s="6"/>
      <c r="V25" s="6"/>
      <c r="W25" s="6"/>
      <c r="X25" s="6"/>
      <c r="Y25" s="6"/>
    </row>
    <row r="26" spans="1:25" x14ac:dyDescent="0.25">
      <c r="A26" s="14">
        <v>6</v>
      </c>
      <c r="B26" s="10">
        <v>2</v>
      </c>
      <c r="C26" s="10">
        <f t="shared" si="7"/>
        <v>10</v>
      </c>
      <c r="D26" s="10">
        <v>2</v>
      </c>
      <c r="E26" s="10">
        <f t="shared" si="8"/>
        <v>10</v>
      </c>
      <c r="F26" s="10">
        <f t="shared" si="5"/>
        <v>12</v>
      </c>
      <c r="G26" s="10">
        <f t="shared" si="9"/>
        <v>0</v>
      </c>
      <c r="H26" s="10">
        <f>COUNTIF($F$21:F25, "&gt;" &amp; C26)</f>
        <v>0</v>
      </c>
      <c r="I26" s="10">
        <f t="shared" si="6"/>
        <v>0</v>
      </c>
      <c r="K26" s="2" t="s">
        <v>19</v>
      </c>
      <c r="L26" s="4">
        <f>SUM(D21:D35)</f>
        <v>30</v>
      </c>
      <c r="Q26" s="6"/>
      <c r="R26" s="6"/>
      <c r="S26" s="6"/>
      <c r="T26" s="6"/>
      <c r="U26" s="6"/>
      <c r="V26" s="6"/>
      <c r="W26" s="6"/>
      <c r="X26" s="6"/>
      <c r="Y26" s="6"/>
    </row>
    <row r="27" spans="1:25" x14ac:dyDescent="0.25">
      <c r="A27" s="14">
        <v>7</v>
      </c>
      <c r="B27" s="10">
        <v>2</v>
      </c>
      <c r="C27" s="10">
        <f t="shared" si="7"/>
        <v>12</v>
      </c>
      <c r="D27" s="10">
        <v>2</v>
      </c>
      <c r="E27" s="10">
        <f t="shared" si="8"/>
        <v>12</v>
      </c>
      <c r="F27" s="10">
        <f t="shared" si="5"/>
        <v>14</v>
      </c>
      <c r="G27" s="10">
        <f t="shared" si="9"/>
        <v>0</v>
      </c>
      <c r="H27" s="10">
        <f>COUNTIF($F$21:F26, "&gt;" &amp; C27)</f>
        <v>0</v>
      </c>
      <c r="I27" s="10">
        <f t="shared" si="6"/>
        <v>0</v>
      </c>
      <c r="K27" s="2" t="s">
        <v>20</v>
      </c>
      <c r="L27" s="4">
        <f>SUM(D21:D35)</f>
        <v>30</v>
      </c>
      <c r="Q27" s="6"/>
      <c r="R27" s="6"/>
      <c r="S27" s="6"/>
      <c r="T27" s="6"/>
      <c r="U27" s="6"/>
      <c r="V27" s="6"/>
      <c r="W27" s="6"/>
      <c r="X27" s="6"/>
      <c r="Y27" s="6"/>
    </row>
    <row r="28" spans="1:25" x14ac:dyDescent="0.25">
      <c r="A28" s="14">
        <v>8</v>
      </c>
      <c r="B28" s="10">
        <v>2</v>
      </c>
      <c r="C28" s="10">
        <f t="shared" si="7"/>
        <v>14</v>
      </c>
      <c r="D28" s="10">
        <v>2</v>
      </c>
      <c r="E28" s="10">
        <f t="shared" si="8"/>
        <v>14</v>
      </c>
      <c r="F28" s="10">
        <f t="shared" si="5"/>
        <v>16</v>
      </c>
      <c r="G28" s="10">
        <f t="shared" si="9"/>
        <v>0</v>
      </c>
      <c r="H28" s="10">
        <f>COUNTIF($F$21:F27, "&gt;" &amp; C28)</f>
        <v>0</v>
      </c>
      <c r="I28" s="10">
        <f t="shared" si="6"/>
        <v>0</v>
      </c>
    </row>
    <row r="29" spans="1:25" x14ac:dyDescent="0.25">
      <c r="A29" s="14">
        <v>9</v>
      </c>
      <c r="B29" s="10">
        <v>2</v>
      </c>
      <c r="C29" s="10">
        <f t="shared" si="7"/>
        <v>16</v>
      </c>
      <c r="D29" s="10">
        <v>2</v>
      </c>
      <c r="E29" s="10">
        <f t="shared" si="8"/>
        <v>16</v>
      </c>
      <c r="F29" s="10">
        <f t="shared" si="5"/>
        <v>18</v>
      </c>
      <c r="G29" s="10">
        <f t="shared" si="9"/>
        <v>0</v>
      </c>
      <c r="H29" s="10">
        <f>COUNTIF($F$21:F28, "&gt;" &amp; C29)</f>
        <v>0</v>
      </c>
      <c r="I29" s="10">
        <f t="shared" si="6"/>
        <v>0</v>
      </c>
    </row>
    <row r="30" spans="1:25" x14ac:dyDescent="0.25">
      <c r="A30" s="14">
        <v>10</v>
      </c>
      <c r="B30" s="10">
        <v>2</v>
      </c>
      <c r="C30" s="10">
        <f t="shared" si="7"/>
        <v>18</v>
      </c>
      <c r="D30" s="10">
        <v>2</v>
      </c>
      <c r="E30" s="10">
        <f t="shared" si="8"/>
        <v>18</v>
      </c>
      <c r="F30" s="10">
        <f t="shared" si="5"/>
        <v>20</v>
      </c>
      <c r="G30" s="10">
        <f t="shared" si="9"/>
        <v>0</v>
      </c>
      <c r="H30" s="10">
        <f>COUNTIF($F$21:F29, "&gt;" &amp; C30)</f>
        <v>0</v>
      </c>
      <c r="I30" s="10">
        <f t="shared" si="6"/>
        <v>0</v>
      </c>
    </row>
    <row r="31" spans="1:25" x14ac:dyDescent="0.25">
      <c r="A31" s="14">
        <v>11</v>
      </c>
      <c r="B31" s="10">
        <v>2</v>
      </c>
      <c r="C31" s="10">
        <f t="shared" si="7"/>
        <v>20</v>
      </c>
      <c r="D31" s="10">
        <v>2</v>
      </c>
      <c r="E31" s="10">
        <f t="shared" si="8"/>
        <v>20</v>
      </c>
      <c r="F31" s="10">
        <f t="shared" si="5"/>
        <v>22</v>
      </c>
      <c r="G31" s="10">
        <f t="shared" si="9"/>
        <v>0</v>
      </c>
      <c r="H31" s="10">
        <f>COUNTIF($F$21:F30, "&gt;" &amp; C31)</f>
        <v>0</v>
      </c>
      <c r="I31" s="10">
        <f t="shared" si="6"/>
        <v>0</v>
      </c>
    </row>
    <row r="32" spans="1:25" x14ac:dyDescent="0.25">
      <c r="A32" s="14">
        <v>12</v>
      </c>
      <c r="B32" s="10">
        <v>2</v>
      </c>
      <c r="C32" s="10">
        <f t="shared" si="7"/>
        <v>22</v>
      </c>
      <c r="D32" s="10">
        <v>2</v>
      </c>
      <c r="E32" s="10">
        <f t="shared" si="8"/>
        <v>22</v>
      </c>
      <c r="F32" s="10">
        <f t="shared" si="5"/>
        <v>24</v>
      </c>
      <c r="G32" s="10">
        <f t="shared" si="9"/>
        <v>0</v>
      </c>
      <c r="H32" s="10">
        <f>COUNTIF($F$21:F31, "&gt;" &amp; C32)</f>
        <v>0</v>
      </c>
      <c r="I32" s="10">
        <f t="shared" si="6"/>
        <v>0</v>
      </c>
    </row>
    <row r="33" spans="1:25" x14ac:dyDescent="0.25">
      <c r="A33" s="14">
        <v>13</v>
      </c>
      <c r="B33" s="10">
        <v>2</v>
      </c>
      <c r="C33" s="10">
        <f t="shared" si="7"/>
        <v>24</v>
      </c>
      <c r="D33" s="10">
        <v>2</v>
      </c>
      <c r="E33" s="10">
        <f t="shared" si="8"/>
        <v>24</v>
      </c>
      <c r="F33" s="10">
        <f t="shared" si="5"/>
        <v>26</v>
      </c>
      <c r="G33" s="10">
        <f t="shared" si="9"/>
        <v>0</v>
      </c>
      <c r="H33" s="10">
        <f>COUNTIF($F$21:F32, "&gt;" &amp; C33)</f>
        <v>0</v>
      </c>
      <c r="I33" s="10">
        <f t="shared" si="6"/>
        <v>0</v>
      </c>
    </row>
    <row r="34" spans="1:25" x14ac:dyDescent="0.25">
      <c r="A34" s="14">
        <v>14</v>
      </c>
      <c r="B34" s="10">
        <v>2</v>
      </c>
      <c r="C34" s="10">
        <f t="shared" si="7"/>
        <v>26</v>
      </c>
      <c r="D34" s="10">
        <v>2</v>
      </c>
      <c r="E34" s="10">
        <f t="shared" si="8"/>
        <v>26</v>
      </c>
      <c r="F34" s="10">
        <f t="shared" si="5"/>
        <v>28</v>
      </c>
      <c r="G34" s="10">
        <f t="shared" si="9"/>
        <v>0</v>
      </c>
      <c r="H34" s="10">
        <f>COUNTIF($F$21:F33, "&gt;" &amp; C34)</f>
        <v>0</v>
      </c>
      <c r="I34" s="10">
        <f t="shared" si="6"/>
        <v>0</v>
      </c>
    </row>
    <row r="35" spans="1:25" x14ac:dyDescent="0.25">
      <c r="A35" s="14">
        <v>15</v>
      </c>
      <c r="B35" s="10">
        <v>2</v>
      </c>
      <c r="C35" s="10">
        <f t="shared" si="7"/>
        <v>28</v>
      </c>
      <c r="D35" s="10">
        <v>2</v>
      </c>
      <c r="E35" s="10">
        <f t="shared" si="8"/>
        <v>28</v>
      </c>
      <c r="F35" s="10">
        <f t="shared" si="5"/>
        <v>30</v>
      </c>
      <c r="G35" s="10">
        <f t="shared" si="9"/>
        <v>0</v>
      </c>
      <c r="H35" s="10">
        <f>COUNTIF($F$21:F34, "&gt;" &amp; C35)</f>
        <v>0</v>
      </c>
      <c r="I35" s="10">
        <f t="shared" si="6"/>
        <v>0</v>
      </c>
    </row>
    <row r="37" spans="1:25" s="2" customFormat="1" x14ac:dyDescent="0.25">
      <c r="A37" s="2" t="s">
        <v>12</v>
      </c>
      <c r="B37" s="2" t="s">
        <v>18</v>
      </c>
      <c r="C37" s="8"/>
    </row>
    <row r="38" spans="1:25" ht="105" x14ac:dyDescent="0.25">
      <c r="A38" s="12" t="s">
        <v>0</v>
      </c>
      <c r="B38" s="12" t="s">
        <v>6</v>
      </c>
      <c r="C38" s="13" t="s">
        <v>7</v>
      </c>
      <c r="D38" s="12" t="s">
        <v>8</v>
      </c>
      <c r="E38" s="12" t="s">
        <v>2</v>
      </c>
      <c r="F38" s="12" t="s">
        <v>3</v>
      </c>
      <c r="G38" s="12" t="s">
        <v>1</v>
      </c>
      <c r="H38" s="12" t="s">
        <v>4</v>
      </c>
      <c r="I38" s="12" t="s">
        <v>5</v>
      </c>
      <c r="Q38" s="5"/>
      <c r="R38" s="5"/>
      <c r="S38" s="5"/>
      <c r="T38" s="5"/>
      <c r="U38" s="5"/>
      <c r="V38" s="5"/>
      <c r="W38" s="5"/>
      <c r="X38" s="5"/>
      <c r="Y38" s="5"/>
    </row>
    <row r="39" spans="1:25" x14ac:dyDescent="0.25">
      <c r="A39" s="15">
        <v>1</v>
      </c>
      <c r="B39" s="11">
        <v>0</v>
      </c>
      <c r="C39" s="16">
        <v>0</v>
      </c>
      <c r="D39" s="11">
        <v>2</v>
      </c>
      <c r="E39" s="11">
        <v>0</v>
      </c>
      <c r="F39" s="11">
        <f>D39+E39</f>
        <v>2</v>
      </c>
      <c r="G39" s="11">
        <v>0</v>
      </c>
      <c r="H39" s="11">
        <v>0</v>
      </c>
      <c r="I39" s="11">
        <v>0</v>
      </c>
      <c r="K39" s="2" t="s">
        <v>22</v>
      </c>
      <c r="L39" s="4">
        <f>AVERAGE(G39:G53)</f>
        <v>7</v>
      </c>
      <c r="Q39" s="6"/>
      <c r="R39" s="6"/>
      <c r="S39" s="6"/>
      <c r="T39" s="6"/>
      <c r="U39" s="6"/>
      <c r="V39" s="7"/>
      <c r="W39" s="6"/>
      <c r="X39" s="6"/>
      <c r="Y39" s="6"/>
    </row>
    <row r="40" spans="1:25" x14ac:dyDescent="0.25">
      <c r="A40" s="15">
        <v>2</v>
      </c>
      <c r="B40" s="11">
        <v>1</v>
      </c>
      <c r="C40" s="16">
        <f>C39+B40</f>
        <v>1</v>
      </c>
      <c r="D40" s="11">
        <v>2</v>
      </c>
      <c r="E40" s="11">
        <f>F39</f>
        <v>2</v>
      </c>
      <c r="F40" s="11">
        <f t="shared" ref="F40:F53" si="10">D40+E40</f>
        <v>4</v>
      </c>
      <c r="G40" s="11">
        <f>F39-C40</f>
        <v>1</v>
      </c>
      <c r="H40" s="11">
        <f>COUNTIF($F$39:F39, "&gt;" &amp; C40)</f>
        <v>1</v>
      </c>
      <c r="I40" s="11">
        <f>ABS(E40-F39)</f>
        <v>0</v>
      </c>
      <c r="K40" s="2" t="s">
        <v>14</v>
      </c>
      <c r="L40" s="4">
        <f>AVERAGE(G40:G54)</f>
        <v>7.5</v>
      </c>
      <c r="Q40" s="6"/>
      <c r="R40" s="6"/>
      <c r="S40" s="6"/>
      <c r="T40" s="6"/>
      <c r="U40" s="7"/>
      <c r="V40" s="7"/>
      <c r="W40" s="6"/>
      <c r="X40" s="6"/>
      <c r="Y40" s="6"/>
    </row>
    <row r="41" spans="1:25" x14ac:dyDescent="0.25">
      <c r="A41" s="15">
        <v>3</v>
      </c>
      <c r="B41" s="11">
        <v>1</v>
      </c>
      <c r="C41" s="16">
        <f t="shared" ref="C41:C53" si="11">C40+B41</f>
        <v>2</v>
      </c>
      <c r="D41" s="11">
        <v>2</v>
      </c>
      <c r="E41" s="11">
        <f t="shared" ref="E41:E53" si="12">F40</f>
        <v>4</v>
      </c>
      <c r="F41" s="11">
        <f t="shared" si="10"/>
        <v>6</v>
      </c>
      <c r="G41" s="11">
        <f>F40-C41</f>
        <v>2</v>
      </c>
      <c r="H41" s="11">
        <f>COUNTIF($F$39:F40, "&gt;" &amp; C41)</f>
        <v>1</v>
      </c>
      <c r="I41" s="11">
        <f t="shared" ref="I41:I53" si="13">ABS(E41-F40)</f>
        <v>0</v>
      </c>
      <c r="K41" s="2" t="s">
        <v>15</v>
      </c>
      <c r="L41" s="4">
        <f>MAX(H40:H54)</f>
        <v>7</v>
      </c>
      <c r="Q41" s="6"/>
      <c r="R41" s="6"/>
      <c r="S41" s="6"/>
      <c r="T41" s="6"/>
      <c r="U41" s="6"/>
      <c r="V41" s="6"/>
      <c r="W41" s="6"/>
      <c r="X41" s="6"/>
      <c r="Y41" s="6"/>
    </row>
    <row r="42" spans="1:25" x14ac:dyDescent="0.25">
      <c r="A42" s="15">
        <v>4</v>
      </c>
      <c r="B42" s="11">
        <v>1</v>
      </c>
      <c r="C42" s="16">
        <f t="shared" si="11"/>
        <v>3</v>
      </c>
      <c r="D42" s="11">
        <v>2</v>
      </c>
      <c r="E42" s="11">
        <f t="shared" si="12"/>
        <v>6</v>
      </c>
      <c r="F42" s="11">
        <f t="shared" si="10"/>
        <v>8</v>
      </c>
      <c r="G42" s="11">
        <f>F41-C42</f>
        <v>3</v>
      </c>
      <c r="H42" s="11">
        <f>COUNTIF($F$39:F41, "&gt;" &amp; C42)</f>
        <v>2</v>
      </c>
      <c r="I42" s="11">
        <f t="shared" si="13"/>
        <v>0</v>
      </c>
      <c r="K42" s="2" t="s">
        <v>16</v>
      </c>
      <c r="Q42" s="6"/>
      <c r="R42" s="6"/>
      <c r="S42" s="6"/>
      <c r="T42" s="6"/>
      <c r="U42" s="6"/>
      <c r="V42" s="6"/>
      <c r="W42" s="6"/>
      <c r="X42" s="6"/>
      <c r="Y42" s="6"/>
    </row>
    <row r="43" spans="1:25" x14ac:dyDescent="0.25">
      <c r="A43" s="15">
        <v>5</v>
      </c>
      <c r="B43" s="11">
        <v>1</v>
      </c>
      <c r="C43" s="16">
        <f t="shared" si="11"/>
        <v>4</v>
      </c>
      <c r="D43" s="11">
        <v>2</v>
      </c>
      <c r="E43" s="11">
        <f t="shared" si="12"/>
        <v>8</v>
      </c>
      <c r="F43" s="11">
        <f t="shared" si="10"/>
        <v>10</v>
      </c>
      <c r="G43" s="11">
        <f>F42-C43</f>
        <v>4</v>
      </c>
      <c r="H43" s="11">
        <f>COUNTIF($F$39:F42, "&gt;" &amp; C43)</f>
        <v>2</v>
      </c>
      <c r="I43" s="11">
        <f t="shared" si="13"/>
        <v>0</v>
      </c>
      <c r="Q43" s="6"/>
      <c r="R43" s="6"/>
      <c r="S43" s="6"/>
      <c r="T43" s="6"/>
      <c r="U43" s="6"/>
      <c r="V43" s="6"/>
      <c r="W43" s="6"/>
      <c r="X43" s="6"/>
      <c r="Y43" s="6"/>
    </row>
    <row r="44" spans="1:25" x14ac:dyDescent="0.25">
      <c r="A44" s="15">
        <v>6</v>
      </c>
      <c r="B44" s="11">
        <v>1</v>
      </c>
      <c r="C44" s="16">
        <f t="shared" si="11"/>
        <v>5</v>
      </c>
      <c r="D44" s="11">
        <v>2</v>
      </c>
      <c r="E44" s="11">
        <f t="shared" si="12"/>
        <v>10</v>
      </c>
      <c r="F44" s="11">
        <f t="shared" si="10"/>
        <v>12</v>
      </c>
      <c r="G44" s="11">
        <f>F43-C44</f>
        <v>5</v>
      </c>
      <c r="H44" s="11">
        <f>COUNTIF($F$39:F43, "&gt;" &amp; C44)</f>
        <v>3</v>
      </c>
      <c r="I44" s="11">
        <f t="shared" si="13"/>
        <v>0</v>
      </c>
      <c r="K44" s="2" t="s">
        <v>19</v>
      </c>
      <c r="L44" s="4">
        <f>SUM(D39:D53)</f>
        <v>30</v>
      </c>
      <c r="Q44" s="6"/>
      <c r="R44" s="6"/>
      <c r="S44" s="6"/>
      <c r="T44" s="6"/>
      <c r="U44" s="6"/>
      <c r="V44" s="6"/>
      <c r="W44" s="6"/>
      <c r="X44" s="6"/>
      <c r="Y44" s="6"/>
    </row>
    <row r="45" spans="1:25" x14ac:dyDescent="0.25">
      <c r="A45" s="15">
        <v>7</v>
      </c>
      <c r="B45" s="11">
        <v>1</v>
      </c>
      <c r="C45" s="16">
        <f t="shared" si="11"/>
        <v>6</v>
      </c>
      <c r="D45" s="11">
        <v>2</v>
      </c>
      <c r="E45" s="11">
        <f t="shared" si="12"/>
        <v>12</v>
      </c>
      <c r="F45" s="11">
        <f t="shared" si="10"/>
        <v>14</v>
      </c>
      <c r="G45" s="11">
        <f t="shared" ref="G45:G51" si="14">F44-C45</f>
        <v>6</v>
      </c>
      <c r="H45" s="11">
        <f>COUNTIF($F$39:F44, "&gt;" &amp; C45)</f>
        <v>3</v>
      </c>
      <c r="I45" s="11">
        <f t="shared" si="13"/>
        <v>0</v>
      </c>
      <c r="K45" s="2" t="s">
        <v>20</v>
      </c>
      <c r="L45" s="4">
        <f>SUM(D39:D53)</f>
        <v>30</v>
      </c>
      <c r="Q45" s="6"/>
      <c r="R45" s="6"/>
      <c r="S45" s="6"/>
      <c r="T45" s="6"/>
      <c r="U45" s="6"/>
      <c r="V45" s="6"/>
      <c r="W45" s="6"/>
      <c r="X45" s="6"/>
      <c r="Y45" s="6"/>
    </row>
    <row r="46" spans="1:25" x14ac:dyDescent="0.25">
      <c r="A46" s="15">
        <v>8</v>
      </c>
      <c r="B46" s="11">
        <v>1</v>
      </c>
      <c r="C46" s="16">
        <f t="shared" si="11"/>
        <v>7</v>
      </c>
      <c r="D46" s="11">
        <v>2</v>
      </c>
      <c r="E46" s="11">
        <f t="shared" si="12"/>
        <v>14</v>
      </c>
      <c r="F46" s="11">
        <f t="shared" si="10"/>
        <v>16</v>
      </c>
      <c r="G46" s="11">
        <f>F45-C46</f>
        <v>7</v>
      </c>
      <c r="H46" s="11">
        <f>COUNTIF($F$39:F45, "&gt;" &amp; C46)</f>
        <v>4</v>
      </c>
      <c r="I46" s="11">
        <f t="shared" si="13"/>
        <v>0</v>
      </c>
    </row>
    <row r="47" spans="1:25" x14ac:dyDescent="0.25">
      <c r="A47" s="15">
        <v>9</v>
      </c>
      <c r="B47" s="11">
        <v>1</v>
      </c>
      <c r="C47" s="16">
        <f t="shared" si="11"/>
        <v>8</v>
      </c>
      <c r="D47" s="11">
        <v>2</v>
      </c>
      <c r="E47" s="11">
        <f t="shared" si="12"/>
        <v>16</v>
      </c>
      <c r="F47" s="11">
        <f t="shared" si="10"/>
        <v>18</v>
      </c>
      <c r="G47" s="11">
        <f t="shared" si="14"/>
        <v>8</v>
      </c>
      <c r="H47" s="11">
        <f>COUNTIF($F$39:F46, "&gt;" &amp; C47)</f>
        <v>4</v>
      </c>
      <c r="I47" s="11">
        <f t="shared" si="13"/>
        <v>0</v>
      </c>
    </row>
    <row r="48" spans="1:25" x14ac:dyDescent="0.25">
      <c r="A48" s="15">
        <v>10</v>
      </c>
      <c r="B48" s="11">
        <v>1</v>
      </c>
      <c r="C48" s="16">
        <f t="shared" si="11"/>
        <v>9</v>
      </c>
      <c r="D48" s="11">
        <v>2</v>
      </c>
      <c r="E48" s="11">
        <f t="shared" si="12"/>
        <v>18</v>
      </c>
      <c r="F48" s="11">
        <f t="shared" si="10"/>
        <v>20</v>
      </c>
      <c r="G48" s="11">
        <f>F47-C48</f>
        <v>9</v>
      </c>
      <c r="H48" s="11">
        <f>COUNTIF($F$39:F47, "&gt;" &amp; C48)</f>
        <v>5</v>
      </c>
      <c r="I48" s="11">
        <f t="shared" si="13"/>
        <v>0</v>
      </c>
    </row>
    <row r="49" spans="1:25" x14ac:dyDescent="0.25">
      <c r="A49" s="15">
        <v>11</v>
      </c>
      <c r="B49" s="11">
        <v>1</v>
      </c>
      <c r="C49" s="16">
        <f t="shared" si="11"/>
        <v>10</v>
      </c>
      <c r="D49" s="11">
        <v>2</v>
      </c>
      <c r="E49" s="11">
        <f t="shared" si="12"/>
        <v>20</v>
      </c>
      <c r="F49" s="11">
        <f t="shared" si="10"/>
        <v>22</v>
      </c>
      <c r="G49" s="11">
        <f t="shared" si="14"/>
        <v>10</v>
      </c>
      <c r="H49" s="11">
        <f>COUNTIF($F$39:F48, "&gt;" &amp; C49)</f>
        <v>5</v>
      </c>
      <c r="I49" s="11">
        <f t="shared" si="13"/>
        <v>0</v>
      </c>
    </row>
    <row r="50" spans="1:25" x14ac:dyDescent="0.25">
      <c r="A50" s="15">
        <v>12</v>
      </c>
      <c r="B50" s="11">
        <v>1</v>
      </c>
      <c r="C50" s="16">
        <f t="shared" si="11"/>
        <v>11</v>
      </c>
      <c r="D50" s="11">
        <v>2</v>
      </c>
      <c r="E50" s="11">
        <f t="shared" si="12"/>
        <v>22</v>
      </c>
      <c r="F50" s="11">
        <f t="shared" si="10"/>
        <v>24</v>
      </c>
      <c r="G50" s="11">
        <f>F49-C50</f>
        <v>11</v>
      </c>
      <c r="H50" s="11">
        <f>COUNTIF($F$39:F49, "&gt;" &amp; C50)</f>
        <v>6</v>
      </c>
      <c r="I50" s="11">
        <f t="shared" si="13"/>
        <v>0</v>
      </c>
    </row>
    <row r="51" spans="1:25" x14ac:dyDescent="0.25">
      <c r="A51" s="15">
        <v>13</v>
      </c>
      <c r="B51" s="11">
        <v>1</v>
      </c>
      <c r="C51" s="16">
        <f t="shared" si="11"/>
        <v>12</v>
      </c>
      <c r="D51" s="11">
        <v>2</v>
      </c>
      <c r="E51" s="11">
        <f t="shared" si="12"/>
        <v>24</v>
      </c>
      <c r="F51" s="11">
        <f t="shared" si="10"/>
        <v>26</v>
      </c>
      <c r="G51" s="11">
        <f t="shared" si="14"/>
        <v>12</v>
      </c>
      <c r="H51" s="11">
        <f>COUNTIF($F$39:F50, "&gt;" &amp; C51)</f>
        <v>6</v>
      </c>
      <c r="I51" s="11">
        <f t="shared" si="13"/>
        <v>0</v>
      </c>
    </row>
    <row r="52" spans="1:25" x14ac:dyDescent="0.25">
      <c r="A52" s="15">
        <v>14</v>
      </c>
      <c r="B52" s="11">
        <v>1</v>
      </c>
      <c r="C52" s="16">
        <f t="shared" si="11"/>
        <v>13</v>
      </c>
      <c r="D52" s="11">
        <v>2</v>
      </c>
      <c r="E52" s="11">
        <f t="shared" si="12"/>
        <v>26</v>
      </c>
      <c r="F52" s="11">
        <f t="shared" si="10"/>
        <v>28</v>
      </c>
      <c r="G52" s="11">
        <f>F51-C52</f>
        <v>13</v>
      </c>
      <c r="H52" s="11">
        <f>COUNTIF($F$39:F51, "&gt;" &amp; C52)</f>
        <v>7</v>
      </c>
      <c r="I52" s="11">
        <f t="shared" si="13"/>
        <v>0</v>
      </c>
    </row>
    <row r="53" spans="1:25" x14ac:dyDescent="0.25">
      <c r="A53" s="15">
        <v>15</v>
      </c>
      <c r="B53" s="11">
        <v>1</v>
      </c>
      <c r="C53" s="16">
        <f t="shared" si="11"/>
        <v>14</v>
      </c>
      <c r="D53" s="11">
        <v>2</v>
      </c>
      <c r="E53" s="11">
        <f t="shared" si="12"/>
        <v>28</v>
      </c>
      <c r="F53" s="11">
        <f t="shared" si="10"/>
        <v>30</v>
      </c>
      <c r="G53" s="11">
        <f>F52-C53</f>
        <v>14</v>
      </c>
      <c r="H53" s="11">
        <f>COUNTIF($F$39:F52, "&gt;" &amp; C53)</f>
        <v>7</v>
      </c>
      <c r="I53" s="11">
        <f t="shared" si="13"/>
        <v>0</v>
      </c>
    </row>
    <row r="55" spans="1:25" s="2" customFormat="1" x14ac:dyDescent="0.25">
      <c r="A55" s="2" t="s">
        <v>13</v>
      </c>
      <c r="B55" s="2" t="s">
        <v>21</v>
      </c>
      <c r="C55" s="8"/>
    </row>
    <row r="56" spans="1:25" ht="90" x14ac:dyDescent="0.25">
      <c r="A56" s="13" t="s">
        <v>0</v>
      </c>
      <c r="B56" s="13" t="s">
        <v>23</v>
      </c>
      <c r="C56" s="13" t="s">
        <v>24</v>
      </c>
      <c r="D56" s="13" t="s">
        <v>8</v>
      </c>
      <c r="E56" s="13" t="s">
        <v>2</v>
      </c>
      <c r="F56" s="13" t="s">
        <v>3</v>
      </c>
      <c r="G56" s="13" t="s">
        <v>1</v>
      </c>
      <c r="H56" s="13" t="s">
        <v>4</v>
      </c>
      <c r="I56" s="13" t="s">
        <v>5</v>
      </c>
      <c r="Q56" s="5"/>
      <c r="R56" s="5"/>
      <c r="S56" s="5"/>
      <c r="T56" s="5"/>
      <c r="U56" s="5"/>
      <c r="V56" s="5"/>
      <c r="W56" s="5"/>
      <c r="X56" s="5"/>
      <c r="Y56" s="5"/>
    </row>
    <row r="57" spans="1:25" x14ac:dyDescent="0.25">
      <c r="A57" s="10">
        <v>1</v>
      </c>
      <c r="B57" s="10">
        <f ca="1">RANDBETWEEN(0,5)</f>
        <v>4</v>
      </c>
      <c r="C57" s="10">
        <v>0</v>
      </c>
      <c r="D57" s="10">
        <f ca="1">RANDBETWEEN(1,5)</f>
        <v>5</v>
      </c>
      <c r="E57" s="10">
        <v>0</v>
      </c>
      <c r="F57" s="10">
        <v>3</v>
      </c>
      <c r="G57" s="10">
        <f>E57-C57</f>
        <v>0</v>
      </c>
      <c r="H57" s="10">
        <v>0</v>
      </c>
      <c r="I57" s="10">
        <v>0</v>
      </c>
      <c r="K57" s="2" t="s">
        <v>22</v>
      </c>
      <c r="L57" s="4">
        <f ca="1">SUM(G57:G71)</f>
        <v>164</v>
      </c>
      <c r="Q57" s="6"/>
      <c r="R57" s="6"/>
      <c r="S57" s="6"/>
      <c r="T57" s="6"/>
      <c r="U57" s="6"/>
      <c r="V57" s="7"/>
      <c r="W57" s="6"/>
      <c r="X57" s="6"/>
      <c r="Y57" s="6"/>
    </row>
    <row r="58" spans="1:25" x14ac:dyDescent="0.25">
      <c r="A58" s="10">
        <v>2</v>
      </c>
      <c r="B58" s="10">
        <f t="shared" ref="B58:B71" ca="1" si="15">RANDBETWEEN(0,5)</f>
        <v>0</v>
      </c>
      <c r="C58" s="10">
        <f ca="1">C57+B58</f>
        <v>0</v>
      </c>
      <c r="D58" s="10">
        <f t="shared" ref="D58:D71" ca="1" si="16">RANDBETWEEN(1,5)</f>
        <v>5</v>
      </c>
      <c r="E58" s="10">
        <f ca="1">IF(F57&gt;=C58, F57, C58)</f>
        <v>3</v>
      </c>
      <c r="F58" s="10">
        <f ca="1">D58+E58</f>
        <v>8</v>
      </c>
      <c r="G58" s="10">
        <f ca="1">E58-C58</f>
        <v>3</v>
      </c>
      <c r="H58" s="10">
        <f ca="1">COUNTIF($F$57:F57, "&gt;" &amp; C58)</f>
        <v>1</v>
      </c>
      <c r="I58" s="10">
        <f ca="1">E58-F57</f>
        <v>0</v>
      </c>
      <c r="K58" s="2" t="s">
        <v>14</v>
      </c>
      <c r="L58" s="4">
        <f ca="1">AVERAGE(G57:G71)</f>
        <v>10.933333333333334</v>
      </c>
      <c r="Q58" s="6"/>
      <c r="R58" s="6"/>
      <c r="S58" s="6"/>
      <c r="T58" s="6"/>
      <c r="U58" s="7"/>
      <c r="V58" s="7"/>
      <c r="W58" s="6"/>
      <c r="X58" s="6"/>
      <c r="Y58" s="6"/>
    </row>
    <row r="59" spans="1:25" x14ac:dyDescent="0.25">
      <c r="A59" s="10">
        <v>3</v>
      </c>
      <c r="B59" s="10">
        <f t="shared" ca="1" si="15"/>
        <v>3</v>
      </c>
      <c r="C59" s="10">
        <f ca="1">C58+B59</f>
        <v>3</v>
      </c>
      <c r="D59" s="10">
        <f t="shared" ca="1" si="16"/>
        <v>1</v>
      </c>
      <c r="E59" s="10">
        <f t="shared" ref="E59:E71" ca="1" si="17">IF(F58&gt;=C59, F58, C59)</f>
        <v>8</v>
      </c>
      <c r="F59" s="10">
        <f t="shared" ref="F59:F71" ca="1" si="18">D59+E59</f>
        <v>9</v>
      </c>
      <c r="G59" s="10">
        <f t="shared" ref="G58:G71" ca="1" si="19">E59-C59</f>
        <v>5</v>
      </c>
      <c r="H59" s="10">
        <f ca="1">COUNTIF($F$57:F58, "&gt;" &amp; C59)</f>
        <v>1</v>
      </c>
      <c r="I59" s="10">
        <f t="shared" ref="I59:I71" ca="1" si="20">E59-F58</f>
        <v>0</v>
      </c>
      <c r="K59" s="2" t="s">
        <v>15</v>
      </c>
      <c r="L59" s="4">
        <f ca="1">MAX(H58:H72)</f>
        <v>7</v>
      </c>
      <c r="Q59" s="6"/>
      <c r="R59" s="6"/>
      <c r="S59" s="6"/>
      <c r="T59" s="6"/>
      <c r="U59" s="6"/>
      <c r="V59" s="6"/>
      <c r="W59" s="6"/>
      <c r="X59" s="6"/>
      <c r="Y59" s="6"/>
    </row>
    <row r="60" spans="1:25" x14ac:dyDescent="0.25">
      <c r="A60" s="10">
        <v>4</v>
      </c>
      <c r="B60" s="10">
        <f t="shared" ca="1" si="15"/>
        <v>0</v>
      </c>
      <c r="C60" s="10">
        <f t="shared" ref="C60:C71" ca="1" si="21">C59+B60</f>
        <v>3</v>
      </c>
      <c r="D60" s="10">
        <f t="shared" ca="1" si="16"/>
        <v>5</v>
      </c>
      <c r="E60" s="10">
        <f t="shared" ca="1" si="17"/>
        <v>9</v>
      </c>
      <c r="F60" s="10">
        <f t="shared" ca="1" si="18"/>
        <v>14</v>
      </c>
      <c r="G60" s="10">
        <f t="shared" ca="1" si="19"/>
        <v>6</v>
      </c>
      <c r="H60" s="10">
        <f ca="1">COUNTIF($F$57:F59, "&gt;" &amp; C60)</f>
        <v>2</v>
      </c>
      <c r="I60" s="10">
        <f t="shared" ca="1" si="20"/>
        <v>0</v>
      </c>
      <c r="Q60" s="6"/>
      <c r="R60" s="6"/>
      <c r="S60" s="6"/>
      <c r="T60" s="6"/>
      <c r="U60" s="6"/>
      <c r="V60" s="6"/>
      <c r="W60" s="6"/>
      <c r="X60" s="6"/>
      <c r="Y60" s="6"/>
    </row>
    <row r="61" spans="1:25" x14ac:dyDescent="0.25">
      <c r="A61" s="10">
        <v>5</v>
      </c>
      <c r="B61" s="10">
        <f ca="1">RANDBETWEEN(0,5)</f>
        <v>2</v>
      </c>
      <c r="C61" s="10">
        <f t="shared" ca="1" si="21"/>
        <v>5</v>
      </c>
      <c r="D61" s="10">
        <f t="shared" ca="1" si="16"/>
        <v>2</v>
      </c>
      <c r="E61" s="10">
        <f t="shared" ca="1" si="17"/>
        <v>14</v>
      </c>
      <c r="F61" s="10">
        <f t="shared" ca="1" si="18"/>
        <v>16</v>
      </c>
      <c r="G61" s="10">
        <f t="shared" ca="1" si="19"/>
        <v>9</v>
      </c>
      <c r="H61" s="10">
        <f ca="1">COUNTIF($F$57:F60, "&gt;" &amp; C61)</f>
        <v>3</v>
      </c>
      <c r="I61" s="10">
        <f t="shared" ca="1" si="20"/>
        <v>0</v>
      </c>
      <c r="K61" s="2" t="s">
        <v>25</v>
      </c>
      <c r="Q61" s="6"/>
      <c r="R61" s="6"/>
      <c r="S61" s="6"/>
      <c r="T61" s="6"/>
      <c r="U61" s="6"/>
      <c r="V61" s="6"/>
      <c r="W61" s="6"/>
      <c r="X61" s="6"/>
      <c r="Y61" s="6"/>
    </row>
    <row r="62" spans="1:25" x14ac:dyDescent="0.25">
      <c r="A62" s="10">
        <v>6</v>
      </c>
      <c r="B62" s="10">
        <f t="shared" ca="1" si="15"/>
        <v>1</v>
      </c>
      <c r="C62" s="10">
        <f t="shared" ca="1" si="21"/>
        <v>6</v>
      </c>
      <c r="D62" s="10">
        <f t="shared" ca="1" si="16"/>
        <v>3</v>
      </c>
      <c r="E62" s="10">
        <f t="shared" ca="1" si="17"/>
        <v>16</v>
      </c>
      <c r="F62" s="10">
        <f t="shared" ca="1" si="18"/>
        <v>19</v>
      </c>
      <c r="G62" s="10">
        <f t="shared" ca="1" si="19"/>
        <v>10</v>
      </c>
      <c r="H62" s="10">
        <f ca="1">COUNTIF($F$57:F61, "&gt;" &amp; C62)</f>
        <v>4</v>
      </c>
      <c r="I62" s="10">
        <f t="shared" ca="1" si="20"/>
        <v>0</v>
      </c>
      <c r="K62" s="2" t="s">
        <v>19</v>
      </c>
      <c r="L62" s="4">
        <f ca="1">SUM(D57:D71)</f>
        <v>48</v>
      </c>
      <c r="Q62" s="6"/>
      <c r="R62" s="6"/>
      <c r="S62" s="6"/>
      <c r="T62" s="6"/>
      <c r="U62" s="6"/>
      <c r="V62" s="6"/>
      <c r="W62" s="6"/>
      <c r="X62" s="6"/>
      <c r="Y62" s="6"/>
    </row>
    <row r="63" spans="1:25" x14ac:dyDescent="0.25">
      <c r="A63" s="10">
        <v>7</v>
      </c>
      <c r="B63" s="10">
        <f t="shared" ca="1" si="15"/>
        <v>0</v>
      </c>
      <c r="C63" s="10">
        <f t="shared" ca="1" si="21"/>
        <v>6</v>
      </c>
      <c r="D63" s="10">
        <f t="shared" ca="1" si="16"/>
        <v>1</v>
      </c>
      <c r="E63" s="10">
        <f t="shared" ca="1" si="17"/>
        <v>19</v>
      </c>
      <c r="F63" s="10">
        <f t="shared" ca="1" si="18"/>
        <v>20</v>
      </c>
      <c r="G63" s="10">
        <f t="shared" ca="1" si="19"/>
        <v>13</v>
      </c>
      <c r="H63" s="10">
        <f ca="1">COUNTIF($F$57:F62, "&gt;" &amp; C63)</f>
        <v>5</v>
      </c>
      <c r="I63" s="10">
        <f t="shared" ca="1" si="20"/>
        <v>0</v>
      </c>
      <c r="K63" s="2" t="s">
        <v>20</v>
      </c>
      <c r="L63" s="4">
        <f ca="1">SUM(D57:D71)-SUM(I57:I71)</f>
        <v>48</v>
      </c>
      <c r="Q63" s="6"/>
      <c r="R63" s="6"/>
      <c r="S63" s="6"/>
      <c r="T63" s="6"/>
      <c r="U63" s="6"/>
      <c r="V63" s="6"/>
      <c r="W63" s="6"/>
      <c r="X63" s="6"/>
      <c r="Y63" s="6"/>
    </row>
    <row r="64" spans="1:25" x14ac:dyDescent="0.25">
      <c r="A64" s="10">
        <v>8</v>
      </c>
      <c r="B64" s="10">
        <f t="shared" ca="1" si="15"/>
        <v>2</v>
      </c>
      <c r="C64" s="10">
        <f t="shared" ca="1" si="21"/>
        <v>8</v>
      </c>
      <c r="D64" s="10">
        <f t="shared" ca="1" si="16"/>
        <v>1</v>
      </c>
      <c r="E64" s="10">
        <f t="shared" ca="1" si="17"/>
        <v>20</v>
      </c>
      <c r="F64" s="10">
        <f t="shared" ca="1" si="18"/>
        <v>21</v>
      </c>
      <c r="G64" s="10">
        <f t="shared" ca="1" si="19"/>
        <v>12</v>
      </c>
      <c r="H64" s="10">
        <f ca="1">COUNTIF($F$57:F63, "&gt;" &amp; C64)</f>
        <v>5</v>
      </c>
      <c r="I64" s="10">
        <f t="shared" ca="1" si="20"/>
        <v>0</v>
      </c>
    </row>
    <row r="65" spans="1:9" x14ac:dyDescent="0.25">
      <c r="A65" s="10">
        <v>9</v>
      </c>
      <c r="B65" s="10">
        <f t="shared" ca="1" si="15"/>
        <v>1</v>
      </c>
      <c r="C65" s="10">
        <f t="shared" ca="1" si="21"/>
        <v>9</v>
      </c>
      <c r="D65" s="10">
        <f t="shared" ca="1" si="16"/>
        <v>5</v>
      </c>
      <c r="E65" s="10">
        <f t="shared" ca="1" si="17"/>
        <v>21</v>
      </c>
      <c r="F65" s="10">
        <f t="shared" ca="1" si="18"/>
        <v>26</v>
      </c>
      <c r="G65" s="10">
        <f t="shared" ca="1" si="19"/>
        <v>12</v>
      </c>
      <c r="H65" s="10">
        <f ca="1">COUNTIF($F$57:F64, "&gt;" &amp; C65)</f>
        <v>5</v>
      </c>
      <c r="I65" s="10">
        <f t="shared" ca="1" si="20"/>
        <v>0</v>
      </c>
    </row>
    <row r="66" spans="1:9" x14ac:dyDescent="0.25">
      <c r="A66" s="10">
        <v>10</v>
      </c>
      <c r="B66" s="10">
        <f t="shared" ca="1" si="15"/>
        <v>3</v>
      </c>
      <c r="C66" s="10">
        <f t="shared" ca="1" si="21"/>
        <v>12</v>
      </c>
      <c r="D66" s="10">
        <f t="shared" ca="1" si="16"/>
        <v>3</v>
      </c>
      <c r="E66" s="10">
        <f t="shared" ca="1" si="17"/>
        <v>26</v>
      </c>
      <c r="F66" s="10">
        <f t="shared" ca="1" si="18"/>
        <v>29</v>
      </c>
      <c r="G66" s="10">
        <f t="shared" ca="1" si="19"/>
        <v>14</v>
      </c>
      <c r="H66" s="10">
        <f ca="1">COUNTIF($F$57:F65, "&gt;" &amp; C66)</f>
        <v>6</v>
      </c>
      <c r="I66" s="10">
        <f t="shared" ca="1" si="20"/>
        <v>0</v>
      </c>
    </row>
    <row r="67" spans="1:9" x14ac:dyDescent="0.25">
      <c r="A67" s="10">
        <v>11</v>
      </c>
      <c r="B67" s="10">
        <f t="shared" ca="1" si="15"/>
        <v>1</v>
      </c>
      <c r="C67" s="10">
        <f t="shared" ca="1" si="21"/>
        <v>13</v>
      </c>
      <c r="D67" s="10">
        <f t="shared" ca="1" si="16"/>
        <v>5</v>
      </c>
      <c r="E67" s="10">
        <f t="shared" ca="1" si="17"/>
        <v>29</v>
      </c>
      <c r="F67" s="10">
        <f t="shared" ca="1" si="18"/>
        <v>34</v>
      </c>
      <c r="G67" s="10">
        <f t="shared" ca="1" si="19"/>
        <v>16</v>
      </c>
      <c r="H67" s="10">
        <f ca="1">COUNTIF($F$57:F66, "&gt;" &amp; C67)</f>
        <v>7</v>
      </c>
      <c r="I67" s="10">
        <f t="shared" ca="1" si="20"/>
        <v>0</v>
      </c>
    </row>
    <row r="68" spans="1:9" x14ac:dyDescent="0.25">
      <c r="A68" s="10">
        <v>12</v>
      </c>
      <c r="B68" s="10">
        <f t="shared" ca="1" si="15"/>
        <v>4</v>
      </c>
      <c r="C68" s="10">
        <f t="shared" ca="1" si="21"/>
        <v>17</v>
      </c>
      <c r="D68" s="10">
        <f t="shared" ca="1" si="16"/>
        <v>3</v>
      </c>
      <c r="E68" s="10">
        <f t="shared" ca="1" si="17"/>
        <v>34</v>
      </c>
      <c r="F68" s="10">
        <f t="shared" ca="1" si="18"/>
        <v>37</v>
      </c>
      <c r="G68" s="10">
        <f t="shared" ca="1" si="19"/>
        <v>17</v>
      </c>
      <c r="H68" s="10">
        <f ca="1">COUNTIF($F$57:F67, "&gt;" &amp; C68)</f>
        <v>6</v>
      </c>
      <c r="I68" s="10">
        <f t="shared" ca="1" si="20"/>
        <v>0</v>
      </c>
    </row>
    <row r="69" spans="1:9" x14ac:dyDescent="0.25">
      <c r="A69" s="10">
        <v>13</v>
      </c>
      <c r="B69" s="10">
        <f t="shared" ca="1" si="15"/>
        <v>5</v>
      </c>
      <c r="C69" s="10">
        <f t="shared" ca="1" si="21"/>
        <v>22</v>
      </c>
      <c r="D69" s="10">
        <f t="shared" ca="1" si="16"/>
        <v>3</v>
      </c>
      <c r="E69" s="10">
        <f t="shared" ca="1" si="17"/>
        <v>37</v>
      </c>
      <c r="F69" s="10">
        <f t="shared" ca="1" si="18"/>
        <v>40</v>
      </c>
      <c r="G69" s="10">
        <f t="shared" ca="1" si="19"/>
        <v>15</v>
      </c>
      <c r="H69" s="10">
        <f ca="1">COUNTIF($F$57:F68, "&gt;" &amp; C69)</f>
        <v>4</v>
      </c>
      <c r="I69" s="10">
        <f t="shared" ca="1" si="20"/>
        <v>0</v>
      </c>
    </row>
    <row r="70" spans="1:9" x14ac:dyDescent="0.25">
      <c r="A70" s="10">
        <v>14</v>
      </c>
      <c r="B70" s="10">
        <f t="shared" ca="1" si="15"/>
        <v>2</v>
      </c>
      <c r="C70" s="10">
        <f t="shared" ca="1" si="21"/>
        <v>24</v>
      </c>
      <c r="D70" s="10">
        <f t="shared" ca="1" si="16"/>
        <v>5</v>
      </c>
      <c r="E70" s="10">
        <f t="shared" ca="1" si="17"/>
        <v>40</v>
      </c>
      <c r="F70" s="10">
        <f t="shared" ca="1" si="18"/>
        <v>45</v>
      </c>
      <c r="G70" s="10">
        <f t="shared" ca="1" si="19"/>
        <v>16</v>
      </c>
      <c r="H70" s="10">
        <f ca="1">COUNTIF($F$57:F69, "&gt;" &amp; C70)</f>
        <v>5</v>
      </c>
      <c r="I70" s="10">
        <f t="shared" ca="1" si="20"/>
        <v>0</v>
      </c>
    </row>
    <row r="71" spans="1:9" x14ac:dyDescent="0.25">
      <c r="A71" s="10">
        <v>15</v>
      </c>
      <c r="B71" s="10">
        <f t="shared" ca="1" si="15"/>
        <v>5</v>
      </c>
      <c r="C71" s="10">
        <f t="shared" ca="1" si="21"/>
        <v>29</v>
      </c>
      <c r="D71" s="10">
        <f t="shared" ca="1" si="16"/>
        <v>1</v>
      </c>
      <c r="E71" s="10">
        <f t="shared" ca="1" si="17"/>
        <v>45</v>
      </c>
      <c r="F71" s="10">
        <f t="shared" ca="1" si="18"/>
        <v>46</v>
      </c>
      <c r="G71" s="10">
        <f t="shared" ca="1" si="19"/>
        <v>16</v>
      </c>
      <c r="H71" s="10">
        <f ca="1">COUNTIF($F$57:F70, "&gt;" &amp; C71)</f>
        <v>4</v>
      </c>
      <c r="I71" s="10">
        <f t="shared" ca="1" si="20"/>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4F9C-2563-49CB-AFB9-222C0C2FBAA2}">
  <dimension ref="Q1:U8"/>
  <sheetViews>
    <sheetView topLeftCell="A4" workbookViewId="0">
      <selection activeCell="W18" sqref="W18"/>
    </sheetView>
  </sheetViews>
  <sheetFormatPr defaultRowHeight="15" x14ac:dyDescent="0.25"/>
  <cols>
    <col min="17" max="17" width="24.28515625" style="19" bestFit="1" customWidth="1"/>
    <col min="21" max="21" width="15.5703125" bestFit="1" customWidth="1"/>
  </cols>
  <sheetData>
    <row r="1" spans="17:21" ht="15.75" x14ac:dyDescent="0.25">
      <c r="Q1" s="17"/>
      <c r="R1" s="20" t="s">
        <v>26</v>
      </c>
      <c r="S1" s="20" t="s">
        <v>27</v>
      </c>
      <c r="T1" s="20" t="s">
        <v>28</v>
      </c>
      <c r="U1" s="20" t="s">
        <v>29</v>
      </c>
    </row>
    <row r="2" spans="17:21" ht="15.75" x14ac:dyDescent="0.25">
      <c r="Q2" s="18" t="s">
        <v>22</v>
      </c>
      <c r="R2" s="1">
        <v>105</v>
      </c>
      <c r="S2" s="1">
        <v>0</v>
      </c>
      <c r="T2" s="1">
        <v>7</v>
      </c>
      <c r="U2" s="21">
        <f ca="1">Activity!L57</f>
        <v>164</v>
      </c>
    </row>
    <row r="3" spans="17:21" ht="15.75" x14ac:dyDescent="0.25">
      <c r="Q3" s="18" t="s">
        <v>14</v>
      </c>
      <c r="R3" s="1">
        <v>7</v>
      </c>
      <c r="S3" s="1">
        <v>0</v>
      </c>
      <c r="T3" s="1">
        <v>7.5</v>
      </c>
      <c r="U3" s="21">
        <f ca="1">Activity!L58</f>
        <v>10.933333333333334</v>
      </c>
    </row>
    <row r="4" spans="17:21" ht="15.75" x14ac:dyDescent="0.25">
      <c r="Q4" s="18" t="s">
        <v>15</v>
      </c>
      <c r="R4" s="1">
        <v>5</v>
      </c>
      <c r="S4" s="1">
        <v>0</v>
      </c>
      <c r="T4" s="1">
        <v>7</v>
      </c>
      <c r="U4" s="21">
        <f ca="1">Activity!L59</f>
        <v>7</v>
      </c>
    </row>
    <row r="5" spans="17:21" ht="15.75" x14ac:dyDescent="0.25">
      <c r="Q5" s="18"/>
      <c r="R5" s="1"/>
      <c r="S5" s="1"/>
      <c r="T5" s="1"/>
      <c r="U5" s="21"/>
    </row>
    <row r="6" spans="17:21" ht="15.75" x14ac:dyDescent="0.25">
      <c r="Q6" s="18" t="s">
        <v>16</v>
      </c>
      <c r="R6" s="1"/>
      <c r="S6" s="1"/>
      <c r="T6" s="1"/>
      <c r="U6" s="21"/>
    </row>
    <row r="7" spans="17:21" ht="15.75" x14ac:dyDescent="0.25">
      <c r="Q7" s="18" t="s">
        <v>30</v>
      </c>
      <c r="R7" s="1">
        <v>45</v>
      </c>
      <c r="S7" s="1">
        <v>30</v>
      </c>
      <c r="T7" s="1">
        <v>30</v>
      </c>
      <c r="U7" s="21">
        <f ca="1">Activity!L62</f>
        <v>48</v>
      </c>
    </row>
    <row r="8" spans="17:21" ht="15.75" x14ac:dyDescent="0.25">
      <c r="Q8" s="18" t="s">
        <v>31</v>
      </c>
      <c r="R8" s="1">
        <v>45</v>
      </c>
      <c r="S8" s="1">
        <v>30</v>
      </c>
      <c r="T8" s="1">
        <v>30</v>
      </c>
      <c r="U8" s="21">
        <f ca="1">Activity!L63</f>
        <v>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Activity</vt:lpstr>
      <vt:lpstr>Report and 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Kate Anecito</dc:creator>
  <cp:lastModifiedBy>Student 7</cp:lastModifiedBy>
  <dcterms:created xsi:type="dcterms:W3CDTF">2025-08-11T00:36:17Z</dcterms:created>
  <dcterms:modified xsi:type="dcterms:W3CDTF">2025-08-11T07:25:43Z</dcterms:modified>
</cp:coreProperties>
</file>