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mktceueduph-my.sharepoint.com/personal/anecito2221737_mkt_ceu_edu_ph/Documents/"/>
    </mc:Choice>
  </mc:AlternateContent>
  <xr:revisionPtr revIDLastSave="514" documentId="8_{6951C93B-4410-4383-BFC8-8D6C781D32F9}" xr6:coauthVersionLast="47" xr6:coauthVersionMax="47" xr10:uidLastSave="{0D4DD251-0D79-437E-B4C6-C8EDC4364AD3}"/>
  <bookViews>
    <workbookView xWindow="-108" yWindow="-108" windowWidth="23256" windowHeight="13176" firstSheet="2" activeTab="2" xr2:uid="{9A6BF13A-16EA-4688-8C8A-8AEB8F009E83}"/>
  </bookViews>
  <sheets>
    <sheet name="Problem" sheetId="1" r:id="rId1"/>
    <sheet name="Manual" sheetId="2" r:id="rId2"/>
    <sheet name="Automati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L6" i="3"/>
  <c r="E6" i="3"/>
  <c r="L5" i="3"/>
  <c r="E5" i="3"/>
  <c r="L4" i="3"/>
  <c r="E4" i="3"/>
  <c r="L3" i="3"/>
  <c r="K3" i="3" s="1"/>
  <c r="E3" i="3"/>
  <c r="D3" i="3" s="1"/>
  <c r="O25" i="2"/>
  <c r="H13" i="2"/>
  <c r="G15" i="2"/>
  <c r="H15" i="2" s="1"/>
  <c r="K15" i="2" s="1"/>
  <c r="K13" i="2"/>
  <c r="J15" i="2"/>
  <c r="F19" i="2"/>
  <c r="J14" i="2"/>
  <c r="F13" i="2"/>
  <c r="F15" i="2"/>
  <c r="L4" i="2"/>
  <c r="L5" i="2"/>
  <c r="L6" i="2"/>
  <c r="L3" i="2"/>
  <c r="K3" i="2" s="1"/>
  <c r="M3" i="2" s="1"/>
  <c r="E4" i="2"/>
  <c r="E5" i="2"/>
  <c r="E6" i="2"/>
  <c r="E7" i="2"/>
  <c r="E3" i="2"/>
  <c r="D3" i="2" s="1"/>
  <c r="M3" i="3" l="1"/>
  <c r="J4" i="3"/>
  <c r="K4" i="3" s="1"/>
  <c r="C4" i="3"/>
  <c r="D4" i="3" s="1"/>
  <c r="F3" i="3"/>
  <c r="M13" i="2"/>
  <c r="C4" i="2"/>
  <c r="D4" i="2" s="1"/>
  <c r="C5" i="2" s="1"/>
  <c r="D5" i="2" s="1"/>
  <c r="C6" i="2" s="1"/>
  <c r="D6" i="2" s="1"/>
  <c r="C7" i="2" s="1"/>
  <c r="D7" i="2" s="1"/>
  <c r="F7" i="2" s="1"/>
  <c r="F3" i="2"/>
  <c r="J4" i="2"/>
  <c r="C5" i="3" l="1"/>
  <c r="D5" i="3" s="1"/>
  <c r="F4" i="3"/>
  <c r="M4" i="3"/>
  <c r="J5" i="3"/>
  <c r="K5" i="3" s="1"/>
  <c r="M15" i="2"/>
  <c r="G19" i="2"/>
  <c r="H19" i="2" s="1"/>
  <c r="F5" i="2"/>
  <c r="F4" i="2"/>
  <c r="K4" i="2"/>
  <c r="J5" i="2" s="1"/>
  <c r="K5" i="2" s="1"/>
  <c r="F6" i="2"/>
  <c r="M5" i="3" l="1"/>
  <c r="J6" i="3"/>
  <c r="K6" i="3" s="1"/>
  <c r="M6" i="3" s="1"/>
  <c r="F5" i="3"/>
  <c r="C6" i="3"/>
  <c r="D6" i="3" s="1"/>
  <c r="G22" i="2"/>
  <c r="H22" i="2" s="1"/>
  <c r="L19" i="2"/>
  <c r="M19" i="2" s="1"/>
  <c r="J6" i="2"/>
  <c r="K6" i="2" s="1"/>
  <c r="M6" i="2" s="1"/>
  <c r="M5" i="2"/>
  <c r="M4" i="2"/>
  <c r="C7" i="3" l="1"/>
  <c r="D7" i="3" s="1"/>
  <c r="F7" i="3" s="1"/>
  <c r="F6" i="3"/>
  <c r="G23" i="2"/>
  <c r="H23" i="2" s="1"/>
  <c r="K23" i="2" s="1"/>
  <c r="M23" i="2" s="1"/>
  <c r="K22" i="2"/>
  <c r="M22" i="2" s="1"/>
</calcChain>
</file>

<file path=xl/sharedStrings.xml><?xml version="1.0" encoding="utf-8"?>
<sst xmlns="http://schemas.openxmlformats.org/spreadsheetml/2006/main" count="80" uniqueCount="46">
  <si>
    <t>Starting Q = 25</t>
  </si>
  <si>
    <t>Inventory Policy:</t>
  </si>
  <si>
    <t>End of the week R &lt;= 10, no outstanding order, then Q = 25 items</t>
  </si>
  <si>
    <t>Order placed at the end of the week, arrives at beginnig of a week (n + 2)</t>
  </si>
  <si>
    <t>Holding cost $1 unit / wk</t>
  </si>
  <si>
    <t>Ordering cost $45 / order</t>
  </si>
  <si>
    <t>Backorder cost $5 unit/wk</t>
  </si>
  <si>
    <t>Average weekly cost ?</t>
  </si>
  <si>
    <t>Mapping A</t>
  </si>
  <si>
    <t>Mapping B</t>
  </si>
  <si>
    <t>Numbers of Customers</t>
  </si>
  <si>
    <t>Probability</t>
  </si>
  <si>
    <t>Mapping (0-99)</t>
  </si>
  <si>
    <t>99 * Probability</t>
  </si>
  <si>
    <t xml:space="preserve">High - Low </t>
  </si>
  <si>
    <t>Demand per customer</t>
  </si>
  <si>
    <t>Order Q, when inventory &lt;= R and there is no understanding order</t>
  </si>
  <si>
    <t>Q = 25, R = 10</t>
  </si>
  <si>
    <t>Costs:</t>
  </si>
  <si>
    <t>Ordering = $45 / order</t>
  </si>
  <si>
    <t>Holding = $ 1 unit / wk</t>
  </si>
  <si>
    <t>Backorder = $ 5 unit / wk</t>
  </si>
  <si>
    <t>Copied random from tutorial</t>
  </si>
  <si>
    <t>Look at Mapping A</t>
  </si>
  <si>
    <t>Copied random no. from tutorial</t>
  </si>
  <si>
    <t>Look for Mapping B</t>
  </si>
  <si>
    <t>Ending = Holding</t>
  </si>
  <si>
    <t>Week</t>
  </si>
  <si>
    <t>RN1 (Probability for Customers)</t>
  </si>
  <si>
    <t>RN2 (Probability for Demands)</t>
  </si>
  <si>
    <t>Demand per Customer</t>
  </si>
  <si>
    <t>Total Demand</t>
  </si>
  <si>
    <t>Inventory</t>
  </si>
  <si>
    <t>Ordering or Receiving</t>
  </si>
  <si>
    <t>Costs</t>
  </si>
  <si>
    <t>Beginning</t>
  </si>
  <si>
    <t>Ending</t>
  </si>
  <si>
    <t>Ordering</t>
  </si>
  <si>
    <t>Holding</t>
  </si>
  <si>
    <t>Backorder</t>
  </si>
  <si>
    <t>Total</t>
  </si>
  <si>
    <t>Order 25</t>
  </si>
  <si>
    <t>Received 25</t>
  </si>
  <si>
    <t>Why it is still 20? Holding means storage costs per unit per week (unsold products that are still sitting in inventory) - fees includes warehousing/storage, utilities and labor to manage stock, depreciation/spoilage risk</t>
  </si>
  <si>
    <t>Average Cost</t>
  </si>
  <si>
    <t>Random Generated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</si>
</sst>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0" fillId="7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0</xdr:row>
      <xdr:rowOff>45721</xdr:rowOff>
    </xdr:from>
    <xdr:to>
      <xdr:col>11</xdr:col>
      <xdr:colOff>508908</xdr:colOff>
      <xdr:row>28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B5B01C-1E05-7B93-6444-CF4FC5FD5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1" y="45721"/>
          <a:ext cx="7199267" cy="5113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A307-2C01-44FC-BCE5-5ECB71B9C699}">
  <dimension ref="M2:M12"/>
  <sheetViews>
    <sheetView workbookViewId="0">
      <selection activeCell="M27" sqref="M27"/>
    </sheetView>
  </sheetViews>
  <sheetFormatPr defaultRowHeight="14.45"/>
  <cols>
    <col min="13" max="13" width="52.28515625" bestFit="1" customWidth="1"/>
  </cols>
  <sheetData>
    <row r="2" spans="13:13">
      <c r="M2" t="s">
        <v>0</v>
      </c>
    </row>
    <row r="4" spans="13:13">
      <c r="M4" t="s">
        <v>1</v>
      </c>
    </row>
    <row r="5" spans="13:13">
      <c r="M5" t="s">
        <v>2</v>
      </c>
    </row>
    <row r="6" spans="13:13">
      <c r="M6" t="s">
        <v>3</v>
      </c>
    </row>
    <row r="8" spans="13:13">
      <c r="M8" t="s">
        <v>4</v>
      </c>
    </row>
    <row r="9" spans="13:13">
      <c r="M9" t="s">
        <v>5</v>
      </c>
    </row>
    <row r="10" spans="13:13">
      <c r="M10" t="s">
        <v>6</v>
      </c>
    </row>
    <row r="12" spans="13:13">
      <c r="M12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AEC5-F033-45EB-BB2E-70F82EC2C5F7}">
  <dimension ref="A1:O25"/>
  <sheetViews>
    <sheetView workbookViewId="0">
      <selection activeCell="A10" sqref="A10:M12"/>
    </sheetView>
  </sheetViews>
  <sheetFormatPr defaultRowHeight="14.45"/>
  <cols>
    <col min="1" max="1" width="12" customWidth="1"/>
    <col min="2" max="2" width="10.7109375" customWidth="1"/>
    <col min="3" max="3" width="9.7109375" customWidth="1"/>
    <col min="4" max="4" width="11.85546875" customWidth="1"/>
    <col min="5" max="5" width="10" customWidth="1"/>
    <col min="6" max="6" width="10.42578125" customWidth="1"/>
    <col min="9" max="9" width="10.140625" customWidth="1"/>
    <col min="14" max="14" width="11.42578125" bestFit="1" customWidth="1"/>
  </cols>
  <sheetData>
    <row r="1" spans="1:15">
      <c r="A1" t="s">
        <v>8</v>
      </c>
      <c r="H1" t="s">
        <v>9</v>
      </c>
    </row>
    <row r="2" spans="1:15" s="2" customFormat="1" ht="43.15">
      <c r="A2" s="4" t="s">
        <v>10</v>
      </c>
      <c r="B2" s="4" t="s">
        <v>11</v>
      </c>
      <c r="C2" s="21" t="s">
        <v>12</v>
      </c>
      <c r="D2" s="21"/>
      <c r="E2" s="2" t="s">
        <v>13</v>
      </c>
      <c r="F2" s="2" t="s">
        <v>14</v>
      </c>
      <c r="H2" s="4" t="s">
        <v>15</v>
      </c>
      <c r="I2" s="4" t="s">
        <v>11</v>
      </c>
      <c r="J2" s="21" t="s">
        <v>12</v>
      </c>
      <c r="K2" s="21"/>
      <c r="O2" t="s">
        <v>16</v>
      </c>
    </row>
    <row r="3" spans="1:15">
      <c r="A3" s="5">
        <v>0</v>
      </c>
      <c r="B3" s="5">
        <v>0.1</v>
      </c>
      <c r="C3" s="6">
        <v>0</v>
      </c>
      <c r="D3" s="6">
        <f>E3</f>
        <v>9</v>
      </c>
      <c r="E3">
        <f>ROUNDDOWN(99*B3,0)</f>
        <v>9</v>
      </c>
      <c r="F3" s="3">
        <f>(D3+1)-(C3+1)</f>
        <v>9</v>
      </c>
      <c r="H3" s="5">
        <v>1</v>
      </c>
      <c r="I3" s="5">
        <v>0.1</v>
      </c>
      <c r="J3" s="6">
        <v>0</v>
      </c>
      <c r="K3" s="6">
        <f>L3</f>
        <v>9</v>
      </c>
      <c r="L3">
        <f>ROUNDDOWN(99*I3,0)</f>
        <v>9</v>
      </c>
      <c r="M3">
        <f>(K3+1)-(J3+1)</f>
        <v>9</v>
      </c>
      <c r="O3" t="s">
        <v>17</v>
      </c>
    </row>
    <row r="4" spans="1:15">
      <c r="A4" s="5">
        <v>1</v>
      </c>
      <c r="B4" s="5">
        <v>0.3</v>
      </c>
      <c r="C4" s="6">
        <f>D3+1</f>
        <v>10</v>
      </c>
      <c r="D4" s="6">
        <f>C4+E4</f>
        <v>39</v>
      </c>
      <c r="E4">
        <f t="shared" ref="E4:E7" si="0">ROUNDDOWN(99*B4,0)</f>
        <v>29</v>
      </c>
      <c r="F4" s="3">
        <f t="shared" ref="F4:F7" si="1">(D4+1)-(C4+1)</f>
        <v>29</v>
      </c>
      <c r="H4" s="5">
        <v>2</v>
      </c>
      <c r="I4" s="5">
        <v>0.15</v>
      </c>
      <c r="J4" s="6">
        <f>K3+1</f>
        <v>10</v>
      </c>
      <c r="K4" s="6">
        <f>J4+L4</f>
        <v>24</v>
      </c>
      <c r="L4">
        <f t="shared" ref="L4:L6" si="2">ROUNDDOWN(99*I4,0)</f>
        <v>14</v>
      </c>
      <c r="M4">
        <f t="shared" ref="M4:M6" si="3">(K4+1)-(J4+1)</f>
        <v>14</v>
      </c>
    </row>
    <row r="5" spans="1:15">
      <c r="A5" s="5">
        <v>2</v>
      </c>
      <c r="B5" s="5">
        <v>0.25</v>
      </c>
      <c r="C5" s="6">
        <f t="shared" ref="C5:C7" si="4">D4+1</f>
        <v>40</v>
      </c>
      <c r="D5" s="6">
        <f t="shared" ref="D5:D7" si="5">C5+E5</f>
        <v>64</v>
      </c>
      <c r="E5">
        <f t="shared" si="0"/>
        <v>24</v>
      </c>
      <c r="F5" s="3">
        <f t="shared" si="1"/>
        <v>24</v>
      </c>
      <c r="H5" s="5">
        <v>3</v>
      </c>
      <c r="I5" s="5">
        <v>0.4</v>
      </c>
      <c r="J5" s="6">
        <f t="shared" ref="J5:J6" si="6">K4+1</f>
        <v>25</v>
      </c>
      <c r="K5" s="6">
        <f t="shared" ref="K5:K6" si="7">J5+L5</f>
        <v>64</v>
      </c>
      <c r="L5">
        <f t="shared" si="2"/>
        <v>39</v>
      </c>
      <c r="M5">
        <f t="shared" si="3"/>
        <v>39</v>
      </c>
      <c r="O5" t="s">
        <v>18</v>
      </c>
    </row>
    <row r="6" spans="1:15">
      <c r="A6" s="5">
        <v>3</v>
      </c>
      <c r="B6" s="5">
        <v>0.2</v>
      </c>
      <c r="C6" s="6">
        <f t="shared" si="4"/>
        <v>65</v>
      </c>
      <c r="D6" s="6">
        <f t="shared" si="5"/>
        <v>84</v>
      </c>
      <c r="E6">
        <f t="shared" si="0"/>
        <v>19</v>
      </c>
      <c r="F6" s="3">
        <f t="shared" si="1"/>
        <v>19</v>
      </c>
      <c r="H6" s="5">
        <v>4</v>
      </c>
      <c r="I6" s="5">
        <v>0.35</v>
      </c>
      <c r="J6" s="6">
        <f t="shared" si="6"/>
        <v>65</v>
      </c>
      <c r="K6" s="6">
        <f t="shared" si="7"/>
        <v>99</v>
      </c>
      <c r="L6">
        <f t="shared" si="2"/>
        <v>34</v>
      </c>
      <c r="M6">
        <f t="shared" si="3"/>
        <v>34</v>
      </c>
      <c r="O6" t="s">
        <v>19</v>
      </c>
    </row>
    <row r="7" spans="1:15">
      <c r="A7" s="5">
        <v>4</v>
      </c>
      <c r="B7" s="5">
        <v>0.15</v>
      </c>
      <c r="C7" s="6">
        <f t="shared" si="4"/>
        <v>85</v>
      </c>
      <c r="D7" s="6">
        <f t="shared" si="5"/>
        <v>99</v>
      </c>
      <c r="E7">
        <f t="shared" si="0"/>
        <v>14</v>
      </c>
      <c r="F7" s="3">
        <f t="shared" si="1"/>
        <v>14</v>
      </c>
      <c r="O7" t="s">
        <v>20</v>
      </c>
    </row>
    <row r="8" spans="1:15">
      <c r="O8" t="s">
        <v>21</v>
      </c>
    </row>
    <row r="9" spans="1:15" s="1" customFormat="1" ht="43.15">
      <c r="B9" s="1" t="s">
        <v>22</v>
      </c>
      <c r="C9" s="1" t="s">
        <v>23</v>
      </c>
      <c r="D9" s="1" t="s">
        <v>24</v>
      </c>
      <c r="E9" s="1" t="s">
        <v>25</v>
      </c>
      <c r="G9" s="1">
        <v>25</v>
      </c>
      <c r="K9" s="1" t="s">
        <v>26</v>
      </c>
    </row>
    <row r="10" spans="1:15" s="7" customFormat="1" ht="63.6" customHeight="1">
      <c r="A10" s="17" t="s">
        <v>27</v>
      </c>
      <c r="B10" s="17" t="s">
        <v>28</v>
      </c>
      <c r="C10" s="17" t="s">
        <v>10</v>
      </c>
      <c r="D10" s="17" t="s">
        <v>29</v>
      </c>
      <c r="E10" s="17" t="s">
        <v>30</v>
      </c>
      <c r="F10" s="17" t="s">
        <v>31</v>
      </c>
      <c r="G10" s="18" t="s">
        <v>32</v>
      </c>
      <c r="H10" s="18"/>
      <c r="I10" s="17" t="s">
        <v>33</v>
      </c>
      <c r="J10" s="18" t="s">
        <v>34</v>
      </c>
      <c r="K10" s="18"/>
      <c r="L10" s="18"/>
      <c r="M10" s="18"/>
    </row>
    <row r="11" spans="1:15" s="7" customFormat="1">
      <c r="A11" s="17"/>
      <c r="B11" s="17"/>
      <c r="C11" s="17"/>
      <c r="D11" s="17"/>
      <c r="E11" s="17"/>
      <c r="F11" s="17"/>
      <c r="G11" s="19" t="s">
        <v>35</v>
      </c>
      <c r="H11" s="19" t="s">
        <v>36</v>
      </c>
      <c r="I11" s="17"/>
      <c r="J11" s="10">
        <v>45</v>
      </c>
      <c r="K11" s="10">
        <v>1</v>
      </c>
      <c r="L11" s="10">
        <v>5</v>
      </c>
      <c r="M11" s="8"/>
    </row>
    <row r="12" spans="1:15" ht="12.6" customHeight="1">
      <c r="A12" s="17"/>
      <c r="B12" s="17"/>
      <c r="C12" s="17"/>
      <c r="D12" s="17"/>
      <c r="E12" s="17"/>
      <c r="F12" s="17"/>
      <c r="G12" s="20"/>
      <c r="H12" s="20"/>
      <c r="I12" s="17"/>
      <c r="J12" s="8" t="s">
        <v>37</v>
      </c>
      <c r="K12" s="8" t="s">
        <v>38</v>
      </c>
      <c r="L12" s="8" t="s">
        <v>39</v>
      </c>
      <c r="M12" s="8" t="s">
        <v>40</v>
      </c>
    </row>
    <row r="13" spans="1:15">
      <c r="A13" s="9">
        <v>1</v>
      </c>
      <c r="B13" s="9">
        <v>43</v>
      </c>
      <c r="C13" s="9">
        <v>2</v>
      </c>
      <c r="D13" s="9">
        <v>45</v>
      </c>
      <c r="E13" s="9">
        <v>3</v>
      </c>
      <c r="F13" s="9">
        <f>SUM(E13:E14)</f>
        <v>7</v>
      </c>
      <c r="G13">
        <v>25</v>
      </c>
      <c r="H13">
        <f>G13-F13</f>
        <v>18</v>
      </c>
      <c r="K13">
        <f>$K$11*H13</f>
        <v>18</v>
      </c>
      <c r="M13">
        <f>SUM(J13:L13)</f>
        <v>18</v>
      </c>
    </row>
    <row r="14" spans="1:15">
      <c r="D14" s="9">
        <v>87</v>
      </c>
      <c r="E14" s="9">
        <v>4</v>
      </c>
      <c r="J14" t="str">
        <f>IF(I16="Order 25",45,"")</f>
        <v/>
      </c>
    </row>
    <row r="15" spans="1:15">
      <c r="A15" s="11">
        <v>2</v>
      </c>
      <c r="B15" s="11">
        <v>93</v>
      </c>
      <c r="C15" s="11">
        <v>4</v>
      </c>
      <c r="D15" s="11">
        <v>8</v>
      </c>
      <c r="E15" s="11">
        <v>1</v>
      </c>
      <c r="F15" s="11">
        <f>SUM(E15:E18)</f>
        <v>12</v>
      </c>
      <c r="G15">
        <f>H13</f>
        <v>18</v>
      </c>
      <c r="H15">
        <f>G15-F15</f>
        <v>6</v>
      </c>
      <c r="I15" t="s">
        <v>41</v>
      </c>
      <c r="J15">
        <f>J11</f>
        <v>45</v>
      </c>
      <c r="K15">
        <f t="shared" ref="K15:K23" si="8">$K$11*H15</f>
        <v>6</v>
      </c>
      <c r="M15">
        <f t="shared" ref="M15:M23" si="9">SUM(J15:L15)</f>
        <v>51</v>
      </c>
    </row>
    <row r="16" spans="1:15">
      <c r="D16" s="11">
        <v>26</v>
      </c>
      <c r="E16" s="11">
        <v>3</v>
      </c>
    </row>
    <row r="17" spans="1:15">
      <c r="D17" s="11">
        <v>73</v>
      </c>
      <c r="E17" s="11">
        <v>4</v>
      </c>
    </row>
    <row r="18" spans="1:15">
      <c r="D18" s="11">
        <v>77</v>
      </c>
      <c r="E18" s="11">
        <v>4</v>
      </c>
    </row>
    <row r="19" spans="1:15">
      <c r="A19" s="12">
        <v>3</v>
      </c>
      <c r="B19" s="12">
        <v>66</v>
      </c>
      <c r="C19" s="12">
        <v>3</v>
      </c>
      <c r="D19" s="12">
        <v>96</v>
      </c>
      <c r="E19" s="12">
        <v>4</v>
      </c>
      <c r="F19" s="12">
        <f>SUM(E19:E21)</f>
        <v>9</v>
      </c>
      <c r="G19">
        <f>H15</f>
        <v>6</v>
      </c>
      <c r="H19">
        <f>G19-F19</f>
        <v>-3</v>
      </c>
      <c r="L19">
        <f>L11*(ABS(H19))</f>
        <v>15</v>
      </c>
      <c r="M19">
        <f t="shared" si="9"/>
        <v>15</v>
      </c>
    </row>
    <row r="20" spans="1:15">
      <c r="D20" s="12">
        <v>28</v>
      </c>
      <c r="E20" s="12">
        <v>3</v>
      </c>
    </row>
    <row r="21" spans="1:15">
      <c r="D21" s="12">
        <v>22</v>
      </c>
      <c r="E21" s="12">
        <v>2</v>
      </c>
    </row>
    <row r="22" spans="1:15">
      <c r="A22" s="13">
        <v>4</v>
      </c>
      <c r="B22" s="13">
        <v>14</v>
      </c>
      <c r="C22" s="13">
        <v>1</v>
      </c>
      <c r="D22" s="13">
        <v>12</v>
      </c>
      <c r="E22" s="13">
        <v>2</v>
      </c>
      <c r="F22" s="13">
        <v>2</v>
      </c>
      <c r="G22">
        <f>H19+25</f>
        <v>22</v>
      </c>
      <c r="H22">
        <f>G22-F22</f>
        <v>20</v>
      </c>
      <c r="I22" t="s">
        <v>42</v>
      </c>
      <c r="K22">
        <f t="shared" si="8"/>
        <v>20</v>
      </c>
      <c r="M22">
        <f t="shared" si="9"/>
        <v>20</v>
      </c>
    </row>
    <row r="23" spans="1:15">
      <c r="A23" s="14">
        <v>5</v>
      </c>
      <c r="B23" s="14">
        <v>3</v>
      </c>
      <c r="C23" s="14">
        <v>0</v>
      </c>
      <c r="D23" s="14"/>
      <c r="E23" s="14"/>
      <c r="F23" s="14">
        <v>0</v>
      </c>
      <c r="G23">
        <f>H22</f>
        <v>20</v>
      </c>
      <c r="H23">
        <f>G23-F23</f>
        <v>20</v>
      </c>
      <c r="K23">
        <f t="shared" si="8"/>
        <v>20</v>
      </c>
      <c r="M23">
        <f t="shared" si="9"/>
        <v>20</v>
      </c>
      <c r="O23" t="s">
        <v>43</v>
      </c>
    </row>
    <row r="25" spans="1:15">
      <c r="N25" s="15" t="s">
        <v>44</v>
      </c>
      <c r="O25" s="15">
        <f>AVERAGE(M13:M23)</f>
        <v>24.8</v>
      </c>
    </row>
  </sheetData>
  <mergeCells count="13">
    <mergeCell ref="A10:A12"/>
    <mergeCell ref="B10:B12"/>
    <mergeCell ref="C10:C12"/>
    <mergeCell ref="D10:D12"/>
    <mergeCell ref="E10:E12"/>
    <mergeCell ref="I10:I12"/>
    <mergeCell ref="J10:M10"/>
    <mergeCell ref="G11:G12"/>
    <mergeCell ref="H11:H12"/>
    <mergeCell ref="C2:D2"/>
    <mergeCell ref="J2:K2"/>
    <mergeCell ref="F10:F12"/>
    <mergeCell ref="G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846F-C25B-488A-83A6-805F213EB82F}">
  <dimension ref="A1:P31"/>
  <sheetViews>
    <sheetView tabSelected="1" workbookViewId="0">
      <selection activeCell="F18" sqref="F18"/>
    </sheetView>
  </sheetViews>
  <sheetFormatPr defaultRowHeight="14.45"/>
  <cols>
    <col min="2" max="2" width="14.5703125" customWidth="1"/>
    <col min="4" max="4" width="16.7109375" customWidth="1"/>
  </cols>
  <sheetData>
    <row r="1" spans="1:16">
      <c r="A1" t="s">
        <v>8</v>
      </c>
      <c r="H1" t="s">
        <v>9</v>
      </c>
    </row>
    <row r="2" spans="1:16" ht="57.6">
      <c r="A2" s="16" t="s">
        <v>10</v>
      </c>
      <c r="B2" s="16" t="s">
        <v>11</v>
      </c>
      <c r="C2" s="22" t="s">
        <v>12</v>
      </c>
      <c r="D2" s="22"/>
      <c r="E2" s="2" t="s">
        <v>13</v>
      </c>
      <c r="F2" s="2" t="s">
        <v>14</v>
      </c>
      <c r="G2" s="2"/>
      <c r="H2" s="16" t="s">
        <v>15</v>
      </c>
      <c r="I2" s="16" t="s">
        <v>11</v>
      </c>
      <c r="J2" s="22" t="s">
        <v>12</v>
      </c>
      <c r="K2" s="22"/>
      <c r="L2" s="2"/>
      <c r="M2" s="2"/>
      <c r="N2" s="2"/>
      <c r="O2" t="s">
        <v>16</v>
      </c>
      <c r="P2" s="2"/>
    </row>
    <row r="3" spans="1:16">
      <c r="A3" s="5">
        <v>0</v>
      </c>
      <c r="B3" s="5">
        <v>0.1</v>
      </c>
      <c r="C3" s="6">
        <v>0</v>
      </c>
      <c r="D3" s="6">
        <f>E3</f>
        <v>9</v>
      </c>
      <c r="E3">
        <f>ROUNDDOWN(99*B3,0)</f>
        <v>9</v>
      </c>
      <c r="F3" s="3">
        <f>(D3+1)-(C3+1)</f>
        <v>9</v>
      </c>
      <c r="H3" s="5">
        <v>1</v>
      </c>
      <c r="I3" s="5">
        <v>0.1</v>
      </c>
      <c r="J3" s="6">
        <v>0</v>
      </c>
      <c r="K3" s="6">
        <f>L3</f>
        <v>9</v>
      </c>
      <c r="L3">
        <f>ROUNDDOWN(99*I3,0)</f>
        <v>9</v>
      </c>
      <c r="M3">
        <f>(K3+1)-(J3+1)</f>
        <v>9</v>
      </c>
      <c r="O3" t="s">
        <v>17</v>
      </c>
    </row>
    <row r="4" spans="1:16">
      <c r="A4" s="5">
        <v>1</v>
      </c>
      <c r="B4" s="5">
        <v>0.3</v>
      </c>
      <c r="C4" s="6">
        <f>D3+1</f>
        <v>10</v>
      </c>
      <c r="D4" s="6">
        <f>C4+E4</f>
        <v>39</v>
      </c>
      <c r="E4">
        <f t="shared" ref="E4:E7" si="0">ROUNDDOWN(99*B4,0)</f>
        <v>29</v>
      </c>
      <c r="F4" s="3">
        <f t="shared" ref="F4:F7" si="1">(D4+1)-(C4+1)</f>
        <v>29</v>
      </c>
      <c r="H4" s="5">
        <v>2</v>
      </c>
      <c r="I4" s="5">
        <v>0.15</v>
      </c>
      <c r="J4" s="6">
        <f>K3+1</f>
        <v>10</v>
      </c>
      <c r="K4" s="6">
        <f>J4+L4</f>
        <v>24</v>
      </c>
      <c r="L4">
        <f t="shared" ref="L4:L6" si="2">ROUNDDOWN(99*I4,0)</f>
        <v>14</v>
      </c>
      <c r="M4">
        <f t="shared" ref="M4:M6" si="3">(K4+1)-(J4+1)</f>
        <v>14</v>
      </c>
    </row>
    <row r="5" spans="1:16">
      <c r="A5" s="5">
        <v>2</v>
      </c>
      <c r="B5" s="5">
        <v>0.25</v>
      </c>
      <c r="C5" s="6">
        <f t="shared" ref="C5:C7" si="4">D4+1</f>
        <v>40</v>
      </c>
      <c r="D5" s="6">
        <f>C5+E5</f>
        <v>64</v>
      </c>
      <c r="E5">
        <f t="shared" si="0"/>
        <v>24</v>
      </c>
      <c r="F5" s="3">
        <f t="shared" si="1"/>
        <v>24</v>
      </c>
      <c r="H5" s="5">
        <v>3</v>
      </c>
      <c r="I5" s="5">
        <v>0.4</v>
      </c>
      <c r="J5" s="6">
        <f t="shared" ref="J5:J6" si="5">K4+1</f>
        <v>25</v>
      </c>
      <c r="K5" s="6">
        <f t="shared" ref="K5:K6" si="6">J5+L5</f>
        <v>64</v>
      </c>
      <c r="L5">
        <f t="shared" si="2"/>
        <v>39</v>
      </c>
      <c r="M5">
        <f t="shared" si="3"/>
        <v>39</v>
      </c>
      <c r="O5" t="s">
        <v>18</v>
      </c>
    </row>
    <row r="6" spans="1:16">
      <c r="A6" s="5">
        <v>3</v>
      </c>
      <c r="B6" s="5">
        <v>0.2</v>
      </c>
      <c r="C6" s="6">
        <f t="shared" si="4"/>
        <v>65</v>
      </c>
      <c r="D6" s="6">
        <f t="shared" ref="D6:D7" si="7">C6+E6</f>
        <v>84</v>
      </c>
      <c r="E6">
        <f t="shared" si="0"/>
        <v>19</v>
      </c>
      <c r="F6" s="3">
        <f t="shared" si="1"/>
        <v>19</v>
      </c>
      <c r="H6" s="5">
        <v>4</v>
      </c>
      <c r="I6" s="5">
        <v>0.35</v>
      </c>
      <c r="J6" s="6">
        <f t="shared" si="5"/>
        <v>65</v>
      </c>
      <c r="K6" s="6">
        <f t="shared" si="6"/>
        <v>99</v>
      </c>
      <c r="L6">
        <f t="shared" si="2"/>
        <v>34</v>
      </c>
      <c r="M6">
        <f t="shared" si="3"/>
        <v>34</v>
      </c>
      <c r="O6" t="s">
        <v>19</v>
      </c>
    </row>
    <row r="7" spans="1:16">
      <c r="A7" s="5">
        <v>4</v>
      </c>
      <c r="B7" s="5">
        <v>0.15</v>
      </c>
      <c r="C7" s="6">
        <f t="shared" si="4"/>
        <v>85</v>
      </c>
      <c r="D7" s="6">
        <f t="shared" si="7"/>
        <v>99</v>
      </c>
      <c r="E7">
        <f t="shared" si="0"/>
        <v>14</v>
      </c>
      <c r="F7" s="3">
        <f t="shared" si="1"/>
        <v>14</v>
      </c>
      <c r="O7" t="s">
        <v>20</v>
      </c>
    </row>
    <row r="8" spans="1:16">
      <c r="O8" t="s">
        <v>21</v>
      </c>
    </row>
    <row r="12" spans="1:16">
      <c r="A12" s="17" t="s">
        <v>27</v>
      </c>
      <c r="B12" s="17" t="s">
        <v>28</v>
      </c>
      <c r="C12" s="17" t="s">
        <v>10</v>
      </c>
      <c r="D12" s="17" t="s">
        <v>29</v>
      </c>
      <c r="E12" s="17" t="s">
        <v>30</v>
      </c>
      <c r="F12" s="17" t="s">
        <v>31</v>
      </c>
      <c r="G12" s="18" t="s">
        <v>32</v>
      </c>
      <c r="H12" s="18"/>
      <c r="I12" s="17" t="s">
        <v>33</v>
      </c>
      <c r="J12" s="18" t="s">
        <v>34</v>
      </c>
      <c r="K12" s="18"/>
      <c r="L12" s="18"/>
      <c r="M12" s="18"/>
    </row>
    <row r="13" spans="1:16">
      <c r="A13" s="17"/>
      <c r="B13" s="17"/>
      <c r="C13" s="17"/>
      <c r="D13" s="17"/>
      <c r="E13" s="17"/>
      <c r="F13" s="17"/>
      <c r="G13" s="19" t="s">
        <v>35</v>
      </c>
      <c r="H13" s="19" t="s">
        <v>36</v>
      </c>
      <c r="I13" s="17"/>
      <c r="J13" s="10">
        <v>45</v>
      </c>
      <c r="K13" s="10">
        <v>1</v>
      </c>
      <c r="L13" s="10">
        <v>5</v>
      </c>
      <c r="M13" s="8"/>
      <c r="O13" s="7"/>
    </row>
    <row r="14" spans="1:16" ht="43.9" customHeight="1">
      <c r="A14" s="17"/>
      <c r="B14" s="17"/>
      <c r="C14" s="17"/>
      <c r="D14" s="17"/>
      <c r="E14" s="17"/>
      <c r="F14" s="17"/>
      <c r="G14" s="20"/>
      <c r="H14" s="20"/>
      <c r="I14" s="17"/>
      <c r="J14" s="8" t="s">
        <v>37</v>
      </c>
      <c r="K14" s="8" t="s">
        <v>38</v>
      </c>
      <c r="L14" s="8" t="s">
        <v>39</v>
      </c>
      <c r="M14" s="8" t="s">
        <v>40</v>
      </c>
      <c r="O14" t="s">
        <v>45</v>
      </c>
    </row>
    <row r="15" spans="1:16">
      <c r="A15">
        <v>1</v>
      </c>
      <c r="B15">
        <v>75</v>
      </c>
      <c r="O15">
        <v>75</v>
      </c>
    </row>
    <row r="16" spans="1:16">
      <c r="O16">
        <v>14</v>
      </c>
    </row>
    <row r="17" spans="15:15">
      <c r="O17">
        <v>15</v>
      </c>
    </row>
    <row r="18" spans="15:15">
      <c r="O18">
        <v>42</v>
      </c>
    </row>
    <row r="19" spans="15:15">
      <c r="O19">
        <v>29</v>
      </c>
    </row>
    <row r="20" spans="15:15">
      <c r="O20">
        <v>2</v>
      </c>
    </row>
    <row r="21" spans="15:15">
      <c r="O21">
        <v>57</v>
      </c>
    </row>
    <row r="22" spans="15:15">
      <c r="O22">
        <v>22</v>
      </c>
    </row>
    <row r="23" spans="15:15">
      <c r="O23">
        <v>60</v>
      </c>
    </row>
    <row r="24" spans="15:15">
      <c r="O24">
        <v>88</v>
      </c>
    </row>
    <row r="25" spans="15:15">
      <c r="O25">
        <v>26</v>
      </c>
    </row>
    <row r="26" spans="15:15">
      <c r="O26">
        <v>62</v>
      </c>
    </row>
    <row r="27" spans="15:15">
      <c r="O27">
        <v>86</v>
      </c>
    </row>
    <row r="28" spans="15:15">
      <c r="O28">
        <v>35</v>
      </c>
    </row>
    <row r="29" spans="15:15">
      <c r="O29">
        <v>22</v>
      </c>
    </row>
    <row r="30" spans="15:15">
      <c r="O30">
        <v>89</v>
      </c>
    </row>
    <row r="31" spans="15:15">
      <c r="O31">
        <v>39</v>
      </c>
    </row>
  </sheetData>
  <mergeCells count="13">
    <mergeCell ref="A12:A14"/>
    <mergeCell ref="B12:B14"/>
    <mergeCell ref="C12:C14"/>
    <mergeCell ref="D12:D14"/>
    <mergeCell ref="E12:E14"/>
    <mergeCell ref="J12:M12"/>
    <mergeCell ref="G13:G14"/>
    <mergeCell ref="H13:H14"/>
    <mergeCell ref="C2:D2"/>
    <mergeCell ref="J2:K2"/>
    <mergeCell ref="F12:F14"/>
    <mergeCell ref="G12:H12"/>
    <mergeCell ref="I12:I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cc1247-0c0f-4ef2-89c3-aac49274a98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95B141A90FCE4485715A396758D873" ma:contentTypeVersion="6" ma:contentTypeDescription="Create a new document." ma:contentTypeScope="" ma:versionID="e2cd868bd64d9344f21d0a8f5e3ef037">
  <xsd:schema xmlns:xsd="http://www.w3.org/2001/XMLSchema" xmlns:xs="http://www.w3.org/2001/XMLSchema" xmlns:p="http://schemas.microsoft.com/office/2006/metadata/properties" xmlns:ns3="50cc1247-0c0f-4ef2-89c3-aac49274a98d" targetNamespace="http://schemas.microsoft.com/office/2006/metadata/properties" ma:root="true" ma:fieldsID="6972b5feb314aba905707c68da8afb33" ns3:_="">
    <xsd:import namespace="50cc1247-0c0f-4ef2-89c3-aac49274a9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c1247-0c0f-4ef2-89c3-aac49274a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FB3189-D7E6-4459-94C9-03AD1A1B2225}"/>
</file>

<file path=customXml/itemProps2.xml><?xml version="1.0" encoding="utf-8"?>
<ds:datastoreItem xmlns:ds="http://schemas.openxmlformats.org/officeDocument/2006/customXml" ds:itemID="{44A0F738-DF4E-4CDF-BFBB-1FFEE42FB037}"/>
</file>

<file path=customXml/itemProps3.xml><?xml version="1.0" encoding="utf-8"?>
<ds:datastoreItem xmlns:ds="http://schemas.openxmlformats.org/officeDocument/2006/customXml" ds:itemID="{D9FB6D76-F3D4-4933-B6EC-DAAA3DD51F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Kate Anecito</dc:creator>
  <cp:keywords/>
  <dc:description/>
  <cp:lastModifiedBy>Mary Kate Anecito</cp:lastModifiedBy>
  <cp:revision/>
  <dcterms:created xsi:type="dcterms:W3CDTF">2025-08-13T00:28:31Z</dcterms:created>
  <dcterms:modified xsi:type="dcterms:W3CDTF">2025-08-17T05:09:57Z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0x010100B095B141A90FCE4485715A396758D873</vt:lpwstr>
  </property>
</Properties>
</file>