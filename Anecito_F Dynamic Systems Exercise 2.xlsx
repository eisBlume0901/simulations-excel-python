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A7725F49-5D4D-43CD-90B7-F97C1677E66A}" xr6:coauthVersionLast="47" xr6:coauthVersionMax="47" xr10:uidLastSave="{00000000-0000-0000-0000-000000000000}"/>
  <bookViews>
    <workbookView xWindow="-13800" yWindow="3840" windowWidth="21600" windowHeight="11385" xr2:uid="{0E00AC14-659D-467B-AE20-9C22905D26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78" i="1" l="1"/>
  <c r="B79" i="1" s="1"/>
  <c r="B80" i="1" s="1"/>
  <c r="B81" i="1" s="1"/>
  <c r="B82" i="1" s="1"/>
  <c r="B83" i="1" s="1"/>
  <c r="B72" i="1"/>
  <c r="B73" i="1" s="1"/>
  <c r="B74" i="1" s="1"/>
  <c r="B75" i="1" s="1"/>
  <c r="B76" i="1" s="1"/>
  <c r="B77" i="1" s="1"/>
  <c r="B58" i="1"/>
  <c r="B59" i="1" s="1"/>
  <c r="B60" i="1" s="1"/>
  <c r="B61" i="1" s="1"/>
  <c r="B62" i="1" s="1"/>
  <c r="B63" i="1" s="1"/>
  <c r="B64" i="1" s="1"/>
  <c r="B65" i="1" s="1"/>
  <c r="B66" i="1" s="1"/>
  <c r="B67" i="1" s="1"/>
  <c r="B68" i="1" s="1"/>
  <c r="B69" i="1" s="1"/>
  <c r="B70" i="1" s="1"/>
  <c r="B71" i="1" s="1"/>
  <c r="B51" i="1"/>
  <c r="B52" i="1" s="1"/>
  <c r="B53" i="1" s="1"/>
  <c r="B54" i="1" s="1"/>
  <c r="B55" i="1" s="1"/>
  <c r="B56" i="1" s="1"/>
  <c r="B57" i="1" s="1"/>
  <c r="B43" i="1"/>
  <c r="B44" i="1" s="1"/>
  <c r="B45" i="1" s="1"/>
  <c r="B46" i="1" s="1"/>
  <c r="B47" i="1" s="1"/>
  <c r="B48" i="1" s="1"/>
  <c r="B49" i="1" s="1"/>
  <c r="B50" i="1" s="1"/>
  <c r="B36" i="1"/>
  <c r="B37" i="1" s="1"/>
  <c r="B38" i="1" s="1"/>
  <c r="B39" i="1" s="1"/>
  <c r="B40" i="1" s="1"/>
  <c r="B41" i="1" s="1"/>
  <c r="B42" i="1" s="1"/>
  <c r="B34" i="1"/>
  <c r="B35" i="1" s="1"/>
  <c r="B32" i="1"/>
  <c r="B33" i="1" s="1"/>
  <c r="B31" i="1"/>
  <c r="B30" i="1"/>
  <c r="B29" i="1"/>
  <c r="B27" i="1"/>
  <c r="B28" i="1" s="1"/>
  <c r="B9" i="1"/>
  <c r="B10" i="1"/>
  <c r="B11" i="1"/>
  <c r="B12" i="1" s="1"/>
  <c r="B13" i="1" s="1"/>
  <c r="B14" i="1" s="1"/>
  <c r="B15" i="1" s="1"/>
  <c r="B16" i="1" s="1"/>
  <c r="B17" i="1" s="1"/>
  <c r="B18" i="1" s="1"/>
  <c r="B19" i="1" s="1"/>
  <c r="B20" i="1" s="1"/>
  <c r="B21" i="1" s="1"/>
  <c r="B22" i="1" s="1"/>
  <c r="B23" i="1" s="1"/>
  <c r="B24" i="1" s="1"/>
  <c r="B25" i="1" s="1"/>
  <c r="B26" i="1" s="1"/>
  <c r="B5" i="1"/>
  <c r="B6" i="1" s="1"/>
  <c r="B7" i="1" s="1"/>
  <c r="B8" i="1" s="1"/>
  <c r="B4" i="1"/>
</calcChain>
</file>

<file path=xl/sharedStrings.xml><?xml version="1.0" encoding="utf-8"?>
<sst xmlns="http://schemas.openxmlformats.org/spreadsheetml/2006/main" count="4" uniqueCount="4">
  <si>
    <t>Population</t>
  </si>
  <si>
    <t>K</t>
  </si>
  <si>
    <t>r</t>
  </si>
  <si>
    <t>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</si>
</sst>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Arial"/>
      <family val="2"/>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PH"/>
              <a:t>Population Growth vs Time (K = 500,</a:t>
            </a:r>
            <a:r>
              <a:rPr lang="en-PH" baseline="0"/>
              <a:t> t = 5)</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Sheet1!$A$3:$A$8</c:f>
              <c:numCache>
                <c:formatCode>General</c:formatCode>
                <c:ptCount val="6"/>
                <c:pt idx="0">
                  <c:v>0</c:v>
                </c:pt>
                <c:pt idx="1">
                  <c:v>1</c:v>
                </c:pt>
                <c:pt idx="2">
                  <c:v>2</c:v>
                </c:pt>
                <c:pt idx="3">
                  <c:v>3</c:v>
                </c:pt>
                <c:pt idx="4">
                  <c:v>4</c:v>
                </c:pt>
                <c:pt idx="5">
                  <c:v>5</c:v>
                </c:pt>
              </c:numCache>
            </c:numRef>
          </c:xVal>
          <c:yVal>
            <c:numRef>
              <c:f>Sheet1!$B$3:$B$8</c:f>
              <c:numCache>
                <c:formatCode>General</c:formatCode>
                <c:ptCount val="6"/>
                <c:pt idx="0">
                  <c:v>50</c:v>
                </c:pt>
                <c:pt idx="1">
                  <c:v>63.5</c:v>
                </c:pt>
                <c:pt idx="2">
                  <c:v>80.130650000000003</c:v>
                </c:pt>
                <c:pt idx="3">
                  <c:v>100.31729235834651</c:v>
                </c:pt>
                <c:pt idx="4">
                  <c:v>124.37434457818448</c:v>
                </c:pt>
                <c:pt idx="5">
                  <c:v>152.40526139808804</c:v>
                </c:pt>
              </c:numCache>
            </c:numRef>
          </c:yVal>
          <c:smooth val="1"/>
          <c:extLst>
            <c:ext xmlns:c16="http://schemas.microsoft.com/office/drawing/2014/chart" uri="{C3380CC4-5D6E-409C-BE32-E72D297353CC}">
              <c16:uniqueId val="{00000000-F019-4679-AAE6-1202355BA85E}"/>
            </c:ext>
          </c:extLst>
        </c:ser>
        <c:dLbls>
          <c:showLegendKey val="0"/>
          <c:showVal val="0"/>
          <c:showCatName val="0"/>
          <c:showSerName val="0"/>
          <c:showPercent val="0"/>
          <c:showBubbleSize val="0"/>
        </c:dLbls>
        <c:axId val="817170463"/>
        <c:axId val="817173791"/>
      </c:scatterChart>
      <c:valAx>
        <c:axId val="817170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17173791"/>
        <c:crosses val="autoZero"/>
        <c:crossBetween val="midCat"/>
      </c:valAx>
      <c:valAx>
        <c:axId val="81717379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8171704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PH"/>
              <a:t>Population Growth vs Time</a:t>
            </a:r>
            <a:r>
              <a:rPr lang="en-PH" baseline="0"/>
              <a:t> (K = 500, t = 80)</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none"/>
          </c:marker>
          <c:xVal>
            <c:numRef>
              <c:f>Sheet1!$A$3:$A$83</c:f>
              <c:numCache>
                <c:formatCode>General</c:formatCode>
                <c:ptCount val="8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numCache>
            </c:numRef>
          </c:xVal>
          <c:yVal>
            <c:numRef>
              <c:f>Sheet1!$B$3:$B$83</c:f>
              <c:numCache>
                <c:formatCode>General</c:formatCode>
                <c:ptCount val="81"/>
                <c:pt idx="0">
                  <c:v>50</c:v>
                </c:pt>
                <c:pt idx="1">
                  <c:v>63.5</c:v>
                </c:pt>
                <c:pt idx="2">
                  <c:v>80.130650000000003</c:v>
                </c:pt>
                <c:pt idx="3">
                  <c:v>100.31729235834651</c:v>
                </c:pt>
                <c:pt idx="4">
                  <c:v>124.37434457818448</c:v>
                </c:pt>
                <c:pt idx="5">
                  <c:v>152.40526139808804</c:v>
                </c:pt>
                <c:pt idx="6">
                  <c:v>184.19042159642274</c:v>
                </c:pt>
                <c:pt idx="7">
                  <c:v>219.09188123062879</c:v>
                </c:pt>
                <c:pt idx="8">
                  <c:v>256.01869414711183</c:v>
                </c:pt>
                <c:pt idx="9">
                  <c:v>293.49695933956997</c:v>
                </c:pt>
                <c:pt idx="10">
                  <c:v>329.86176805649706</c:v>
                </c:pt>
                <c:pt idx="11">
                  <c:v>363.53502685823122</c:v>
                </c:pt>
                <c:pt idx="12">
                  <c:v>393.30090546401163</c:v>
                </c:pt>
                <c:pt idx="13">
                  <c:v>418.47981575992827</c:v>
                </c:pt>
                <c:pt idx="14">
                  <c:v>438.94854676882863</c:v>
                </c:pt>
                <c:pt idx="15">
                  <c:v>455.02761477319729</c:v>
                </c:pt>
                <c:pt idx="16">
                  <c:v>467.30582108144534</c:v>
                </c:pt>
                <c:pt idx="17">
                  <c:v>476.47272915591668</c:v>
                </c:pt>
                <c:pt idx="18">
                  <c:v>483.19879092511917</c:v>
                </c:pt>
                <c:pt idx="19">
                  <c:v>488.0697852717567</c:v>
                </c:pt>
                <c:pt idx="20">
                  <c:v>491.56345167615251</c:v>
                </c:pt>
                <c:pt idx="21">
                  <c:v>494.05171096473441</c:v>
                </c:pt>
                <c:pt idx="22">
                  <c:v>495.81496838984583</c:v>
                </c:pt>
                <c:pt idx="23">
                  <c:v>497.0599691791453</c:v>
                </c:pt>
                <c:pt idx="24">
                  <c:v>497.93679215666515</c:v>
                </c:pt>
                <c:pt idx="25">
                  <c:v>498.55320041370271</c:v>
                </c:pt>
                <c:pt idx="26">
                  <c:v>498.98598435216616</c:v>
                </c:pt>
                <c:pt idx="27">
                  <c:v>499.28957210987585</c:v>
                </c:pt>
                <c:pt idx="28">
                  <c:v>499.50239765224086</c:v>
                </c:pt>
                <c:pt idx="29">
                  <c:v>499.65152979171069</c:v>
                </c:pt>
                <c:pt idx="30">
                  <c:v>499.75599799530585</c:v>
                </c:pt>
                <c:pt idx="31">
                  <c:v>499.82916287452713</c:v>
                </c:pt>
                <c:pt idx="32">
                  <c:v>499.88039650097494</c:v>
                </c:pt>
                <c:pt idx="33">
                  <c:v>499.91626896768429</c:v>
                </c:pt>
                <c:pt idx="34">
                  <c:v>499.94138407084756</c:v>
                </c:pt>
                <c:pt idx="35">
                  <c:v>499.95896678809703</c:v>
                </c:pt>
                <c:pt idx="36">
                  <c:v>499.9712757414332</c:v>
                </c:pt>
                <c:pt idx="37">
                  <c:v>499.97989252395342</c:v>
                </c:pt>
                <c:pt idx="38">
                  <c:v>499.98592452418103</c:v>
                </c:pt>
                <c:pt idx="39">
                  <c:v>499.99014704805529</c:v>
                </c:pt>
                <c:pt idx="40">
                  <c:v>499.99310287539032</c:v>
                </c:pt>
                <c:pt idx="41">
                  <c:v>499.99517198423104</c:v>
                </c:pt>
                <c:pt idx="42">
                  <c:v>499.99662037497586</c:v>
                </c:pt>
                <c:pt idx="43">
                  <c:v>499.99763425562998</c:v>
                </c:pt>
                <c:pt idx="44">
                  <c:v>499.99834397558294</c:v>
                </c:pt>
                <c:pt idx="45">
                  <c:v>499.99884078126263</c:v>
                </c:pt>
                <c:pt idx="46">
                  <c:v>499.99918854607756</c:v>
                </c:pt>
                <c:pt idx="47">
                  <c:v>499.99943198185923</c:v>
                </c:pt>
                <c:pt idx="48">
                  <c:v>499.99960238710787</c:v>
                </c:pt>
                <c:pt idx="49">
                  <c:v>499.99972167088066</c:v>
                </c:pt>
                <c:pt idx="50">
                  <c:v>499.99980516956998</c:v>
                </c:pt>
                <c:pt idx="51">
                  <c:v>499.99986361867622</c:v>
                </c:pt>
                <c:pt idx="52">
                  <c:v>499.99990453306219</c:v>
                </c:pt>
                <c:pt idx="53">
                  <c:v>499.99993317313806</c:v>
                </c:pt>
                <c:pt idx="54">
                  <c:v>499.99995322119395</c:v>
                </c:pt>
                <c:pt idx="55">
                  <c:v>499.99996725483447</c:v>
                </c:pt>
                <c:pt idx="56">
                  <c:v>499.99997707838349</c:v>
                </c:pt>
                <c:pt idx="57">
                  <c:v>499.99998395486813</c:v>
                </c:pt>
                <c:pt idx="58">
                  <c:v>499.99998876840755</c:v>
                </c:pt>
                <c:pt idx="59">
                  <c:v>499.99999213788522</c:v>
                </c:pt>
                <c:pt idx="60">
                  <c:v>499.99999449651961</c:v>
                </c:pt>
                <c:pt idx="61">
                  <c:v>499.99999614756371</c:v>
                </c:pt>
                <c:pt idx="62">
                  <c:v>499.99999730329461</c:v>
                </c:pt>
                <c:pt idx="63">
                  <c:v>499.99999811230623</c:v>
                </c:pt>
                <c:pt idx="64">
                  <c:v>499.99999867861436</c:v>
                </c:pt>
                <c:pt idx="65">
                  <c:v>499.99999907503002</c:v>
                </c:pt>
                <c:pt idx="66">
                  <c:v>499.999999352521</c:v>
                </c:pt>
                <c:pt idx="67">
                  <c:v>499.99999954676468</c:v>
                </c:pt>
                <c:pt idx="68">
                  <c:v>499.99999968273528</c:v>
                </c:pt>
                <c:pt idx="69">
                  <c:v>499.9999997779147</c:v>
                </c:pt>
                <c:pt idx="70">
                  <c:v>499.9999998445403</c:v>
                </c:pt>
                <c:pt idx="71">
                  <c:v>499.99999989117822</c:v>
                </c:pt>
                <c:pt idx="72">
                  <c:v>499.99999992382476</c:v>
                </c:pt>
                <c:pt idx="73">
                  <c:v>499.99999994667735</c:v>
                </c:pt>
                <c:pt idx="74">
                  <c:v>499.99999996267411</c:v>
                </c:pt>
                <c:pt idx="75">
                  <c:v>499.99999997387187</c:v>
                </c:pt>
                <c:pt idx="76">
                  <c:v>499.99999998171029</c:v>
                </c:pt>
                <c:pt idx="77">
                  <c:v>499.99999998719721</c:v>
                </c:pt>
                <c:pt idx="78">
                  <c:v>499.99999999103807</c:v>
                </c:pt>
                <c:pt idx="79">
                  <c:v>499.99999999372665</c:v>
                </c:pt>
                <c:pt idx="80">
                  <c:v>499.99999999560868</c:v>
                </c:pt>
              </c:numCache>
            </c:numRef>
          </c:yVal>
          <c:smooth val="0"/>
          <c:extLst>
            <c:ext xmlns:c16="http://schemas.microsoft.com/office/drawing/2014/chart" uri="{C3380CC4-5D6E-409C-BE32-E72D297353CC}">
              <c16:uniqueId val="{00000000-F7DD-4E6F-895E-59DEC64766C9}"/>
            </c:ext>
          </c:extLst>
        </c:ser>
        <c:dLbls>
          <c:showLegendKey val="0"/>
          <c:showVal val="0"/>
          <c:showCatName val="0"/>
          <c:showSerName val="0"/>
          <c:showPercent val="0"/>
          <c:showBubbleSize val="0"/>
        </c:dLbls>
        <c:axId val="440424624"/>
        <c:axId val="440427952"/>
      </c:scatterChart>
      <c:valAx>
        <c:axId val="4404246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Time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40427952"/>
        <c:crosses val="autoZero"/>
        <c:crossBetween val="midCat"/>
      </c:valAx>
      <c:valAx>
        <c:axId val="4404279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PH"/>
                  <a:t>Population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404246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123825</xdr:colOff>
      <xdr:row>17</xdr:row>
      <xdr:rowOff>123825</xdr:rowOff>
    </xdr:from>
    <xdr:ext cx="4505324" cy="2850139"/>
    <xdr:sp macro="" textlink="">
      <xdr:nvSpPr>
        <xdr:cNvPr id="2" name="TextBox 1">
          <a:extLst>
            <a:ext uri="{FF2B5EF4-FFF2-40B4-BE49-F238E27FC236}">
              <a16:creationId xmlns:a16="http://schemas.microsoft.com/office/drawing/2014/main" id="{928F51DF-A6F2-462C-B762-2139804C22C8}"/>
            </a:ext>
          </a:extLst>
        </xdr:cNvPr>
        <xdr:cNvSpPr txBox="1"/>
      </xdr:nvSpPr>
      <xdr:spPr>
        <a:xfrm>
          <a:off x="1533525" y="3362325"/>
          <a:ext cx="4505324" cy="2850139"/>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PH" sz="1100" b="1">
              <a:latin typeface="Arial" panose="020B0604020202020204" pitchFamily="34" charset="0"/>
              <a:cs typeface="Arial" panose="020B0604020202020204" pitchFamily="34" charset="0"/>
            </a:rPr>
            <a:t>Does the population stabilize?</a:t>
          </a:r>
          <a:r>
            <a:rPr lang="en-PH" sz="1100" b="1" baseline="0">
              <a:latin typeface="Arial" panose="020B0604020202020204" pitchFamily="34" charset="0"/>
              <a:cs typeface="Arial" panose="020B0604020202020204" pitchFamily="34" charset="0"/>
            </a:rPr>
            <a:t> </a:t>
          </a:r>
          <a:endParaRPr lang="en-PH" sz="1100" b="0" baseline="0">
            <a:latin typeface="Arial" panose="020B0604020202020204" pitchFamily="34" charset="0"/>
            <a:cs typeface="Arial" panose="020B0604020202020204" pitchFamily="34" charset="0"/>
          </a:endParaRPr>
        </a:p>
        <a:p>
          <a:r>
            <a:rPr lang="en-PH" sz="1100" b="0" baseline="0">
              <a:latin typeface="Arial" panose="020B0604020202020204" pitchFamily="34" charset="0"/>
              <a:cs typeface="Arial" panose="020B0604020202020204" pitchFamily="34" charset="0"/>
            </a:rPr>
            <a:t>If the simulation will continue for a longer time, the population will eventually stabilize as it approaches with the carrying capacity of 500. To demonstrate this, I further simulated the model until the carrying capacity is exactly at 500 wherein it was found that the time should be at 74. As the population (Pt) gets closer to 500, the (1 - Pt/K) part of the equation approaches closer to zero which makes the growth term smaller and smaller causing the population to level off and settle at this equilibrium value.</a:t>
          </a:r>
          <a:endParaRPr lang="en-PH" sz="1100" b="1">
            <a:latin typeface="Arial" panose="020B0604020202020204" pitchFamily="34" charset="0"/>
            <a:cs typeface="Arial" panose="020B0604020202020204" pitchFamily="34" charset="0"/>
          </a:endParaRPr>
        </a:p>
        <a:p>
          <a:endParaRPr lang="en-PH" sz="1100">
            <a:latin typeface="Arial" panose="020B0604020202020204" pitchFamily="34" charset="0"/>
            <a:cs typeface="Arial" panose="020B0604020202020204" pitchFamily="34" charset="0"/>
          </a:endParaRPr>
        </a:p>
        <a:p>
          <a:r>
            <a:rPr lang="en-PH" sz="1100" b="1">
              <a:latin typeface="Arial" panose="020B0604020202020204" pitchFamily="34" charset="0"/>
              <a:cs typeface="Arial" panose="020B0604020202020204" pitchFamily="34" charset="0"/>
            </a:rPr>
            <a:t>Does it overshoot?</a:t>
          </a:r>
        </a:p>
        <a:p>
          <a:r>
            <a:rPr lang="en-PH" sz="1100" b="0">
              <a:latin typeface="Arial" panose="020B0604020202020204" pitchFamily="34" charset="0"/>
              <a:cs typeface="Arial" panose="020B0604020202020204" pitchFamily="34" charset="0"/>
            </a:rPr>
            <a:t>No, the population does not overshoot</a:t>
          </a:r>
          <a:r>
            <a:rPr lang="en-PH" sz="1100" b="0" baseline="0">
              <a:latin typeface="Arial" panose="020B0604020202020204" pitchFamily="34" charset="0"/>
              <a:cs typeface="Arial" panose="020B0604020202020204" pitchFamily="34" charset="0"/>
            </a:rPr>
            <a:t> since it did not increase at an instananeous rate that surpasses the carrying capacity given. The growth rate here is set to 0.3 which is a low value and the population will approach to 500 fishes gradually and smoothly without ever going above it (if we will further simulate beyond t = 74).</a:t>
          </a:r>
          <a:endParaRPr lang="en-PH" sz="1100" b="0">
            <a:latin typeface="Arial" panose="020B0604020202020204" pitchFamily="34" charset="0"/>
            <a:cs typeface="Arial" panose="020B0604020202020204" pitchFamily="34" charset="0"/>
          </a:endParaRPr>
        </a:p>
        <a:p>
          <a:endParaRPr lang="en-PH" sz="1100" b="1">
            <a:latin typeface="Arial" panose="020B0604020202020204" pitchFamily="34" charset="0"/>
            <a:cs typeface="Arial" panose="020B0604020202020204" pitchFamily="34" charset="0"/>
          </a:endParaRPr>
        </a:p>
      </xdr:txBody>
    </xdr:sp>
    <xdr:clientData/>
  </xdr:oneCellAnchor>
  <xdr:twoCellAnchor>
    <xdr:from>
      <xdr:col>2</xdr:col>
      <xdr:colOff>104775</xdr:colOff>
      <xdr:row>1</xdr:row>
      <xdr:rowOff>23811</xdr:rowOff>
    </xdr:from>
    <xdr:to>
      <xdr:col>9</xdr:col>
      <xdr:colOff>323849</xdr:colOff>
      <xdr:row>17</xdr:row>
      <xdr:rowOff>28574</xdr:rowOff>
    </xdr:to>
    <xdr:graphicFrame macro="">
      <xdr:nvGraphicFramePr>
        <xdr:cNvPr id="3" name="Chart 2">
          <a:extLst>
            <a:ext uri="{FF2B5EF4-FFF2-40B4-BE49-F238E27FC236}">
              <a16:creationId xmlns:a16="http://schemas.microsoft.com/office/drawing/2014/main" id="{4F7EA7C8-93DD-4C12-A799-0790CA915C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53643</xdr:colOff>
      <xdr:row>33</xdr:row>
      <xdr:rowOff>56627</xdr:rowOff>
    </xdr:from>
    <xdr:to>
      <xdr:col>9</xdr:col>
      <xdr:colOff>255133</xdr:colOff>
      <xdr:row>47</xdr:row>
      <xdr:rowOff>132827</xdr:rowOff>
    </xdr:to>
    <xdr:graphicFrame macro="">
      <xdr:nvGraphicFramePr>
        <xdr:cNvPr id="4" name="Chart 3">
          <a:extLst>
            <a:ext uri="{FF2B5EF4-FFF2-40B4-BE49-F238E27FC236}">
              <a16:creationId xmlns:a16="http://schemas.microsoft.com/office/drawing/2014/main" id="{6B7445D9-2232-4441-948D-A63E8E9486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36A02-9418-4D8F-810D-41C197C842EC}">
  <dimension ref="A1:D88"/>
  <sheetViews>
    <sheetView tabSelected="1" topLeftCell="A21" zoomScale="85" zoomScaleNormal="85" workbookViewId="0">
      <selection activeCell="N30" sqref="N30"/>
    </sheetView>
  </sheetViews>
  <sheetFormatPr defaultRowHeight="15" x14ac:dyDescent="0.2"/>
  <cols>
    <col min="1" max="1" width="9.140625" style="1"/>
    <col min="2" max="2" width="15.5703125" style="1" bestFit="1" customWidth="1"/>
    <col min="3" max="3" width="9.140625" style="1"/>
    <col min="4" max="4" width="9.7109375" style="1" customWidth="1"/>
    <col min="5" max="16384" width="9.140625" style="1"/>
  </cols>
  <sheetData>
    <row r="1" spans="1:4" x14ac:dyDescent="0.2">
      <c r="A1" s="1" t="s">
        <v>1</v>
      </c>
      <c r="B1" s="1">
        <v>500</v>
      </c>
      <c r="C1" s="1" t="s">
        <v>2</v>
      </c>
      <c r="D1" s="1">
        <v>0.3</v>
      </c>
    </row>
    <row r="2" spans="1:4" x14ac:dyDescent="0.2">
      <c r="A2" s="1" t="s">
        <v>3</v>
      </c>
      <c r="B2" s="1" t="s">
        <v>0</v>
      </c>
    </row>
    <row r="3" spans="1:4" x14ac:dyDescent="0.2">
      <c r="A3" s="1">
        <v>0</v>
      </c>
      <c r="B3" s="1">
        <v>50</v>
      </c>
    </row>
    <row r="4" spans="1:4" x14ac:dyDescent="0.2">
      <c r="A4" s="1">
        <v>1</v>
      </c>
      <c r="B4" s="1">
        <f>B3+($D$1*B3)*(1-(B3/$B$1))</f>
        <v>63.5</v>
      </c>
    </row>
    <row r="5" spans="1:4" x14ac:dyDescent="0.2">
      <c r="A5" s="1">
        <v>2</v>
      </c>
      <c r="B5" s="1">
        <f t="shared" ref="B5:B8" si="0">B4+($D$1*B4)*(1-(B4/$B$1))</f>
        <v>80.130650000000003</v>
      </c>
    </row>
    <row r="6" spans="1:4" x14ac:dyDescent="0.2">
      <c r="A6" s="1">
        <v>3</v>
      </c>
      <c r="B6" s="1">
        <f t="shared" si="0"/>
        <v>100.31729235834651</v>
      </c>
    </row>
    <row r="7" spans="1:4" x14ac:dyDescent="0.2">
      <c r="A7" s="1">
        <v>4</v>
      </c>
      <c r="B7" s="1">
        <f t="shared" si="0"/>
        <v>124.37434457818448</v>
      </c>
    </row>
    <row r="8" spans="1:4" x14ac:dyDescent="0.2">
      <c r="A8" s="1">
        <v>5</v>
      </c>
      <c r="B8" s="1">
        <f t="shared" si="0"/>
        <v>152.40526139808804</v>
      </c>
    </row>
    <row r="9" spans="1:4" x14ac:dyDescent="0.2">
      <c r="A9" s="1">
        <v>6</v>
      </c>
      <c r="B9" s="1">
        <f t="shared" ref="B9:B27" si="1">B8+($D$1*B8)*(1-(B8/$B$1))</f>
        <v>184.19042159642274</v>
      </c>
    </row>
    <row r="10" spans="1:4" x14ac:dyDescent="0.2">
      <c r="A10" s="1">
        <v>7</v>
      </c>
      <c r="B10" s="1">
        <f t="shared" si="1"/>
        <v>219.09188123062879</v>
      </c>
    </row>
    <row r="11" spans="1:4" x14ac:dyDescent="0.2">
      <c r="A11" s="1">
        <v>8</v>
      </c>
      <c r="B11" s="1">
        <f t="shared" si="1"/>
        <v>256.01869414711183</v>
      </c>
    </row>
    <row r="12" spans="1:4" x14ac:dyDescent="0.2">
      <c r="A12" s="1">
        <v>9</v>
      </c>
      <c r="B12" s="1">
        <f t="shared" si="1"/>
        <v>293.49695933956997</v>
      </c>
    </row>
    <row r="13" spans="1:4" x14ac:dyDescent="0.2">
      <c r="A13" s="1">
        <v>10</v>
      </c>
      <c r="B13" s="1">
        <f t="shared" si="1"/>
        <v>329.86176805649706</v>
      </c>
    </row>
    <row r="14" spans="1:4" x14ac:dyDescent="0.2">
      <c r="A14" s="1">
        <v>11</v>
      </c>
      <c r="B14" s="1">
        <f t="shared" si="1"/>
        <v>363.53502685823122</v>
      </c>
    </row>
    <row r="15" spans="1:4" x14ac:dyDescent="0.2">
      <c r="A15" s="1">
        <v>12</v>
      </c>
      <c r="B15" s="1">
        <f t="shared" si="1"/>
        <v>393.30090546401163</v>
      </c>
    </row>
    <row r="16" spans="1:4" x14ac:dyDescent="0.2">
      <c r="A16" s="1">
        <v>13</v>
      </c>
      <c r="B16" s="1">
        <f t="shared" si="1"/>
        <v>418.47981575992827</v>
      </c>
    </row>
    <row r="17" spans="1:2" x14ac:dyDescent="0.2">
      <c r="A17" s="1">
        <v>14</v>
      </c>
      <c r="B17" s="1">
        <f t="shared" si="1"/>
        <v>438.94854676882863</v>
      </c>
    </row>
    <row r="18" spans="1:2" x14ac:dyDescent="0.2">
      <c r="A18" s="1">
        <v>15</v>
      </c>
      <c r="B18" s="1">
        <f t="shared" si="1"/>
        <v>455.02761477319729</v>
      </c>
    </row>
    <row r="19" spans="1:2" x14ac:dyDescent="0.2">
      <c r="A19" s="1">
        <v>16</v>
      </c>
      <c r="B19" s="1">
        <f t="shared" si="1"/>
        <v>467.30582108144534</v>
      </c>
    </row>
    <row r="20" spans="1:2" x14ac:dyDescent="0.2">
      <c r="A20" s="1">
        <v>17</v>
      </c>
      <c r="B20" s="1">
        <f t="shared" si="1"/>
        <v>476.47272915591668</v>
      </c>
    </row>
    <row r="21" spans="1:2" x14ac:dyDescent="0.2">
      <c r="A21" s="1">
        <v>18</v>
      </c>
      <c r="B21" s="1">
        <f t="shared" si="1"/>
        <v>483.19879092511917</v>
      </c>
    </row>
    <row r="22" spans="1:2" x14ac:dyDescent="0.2">
      <c r="A22" s="1">
        <v>19</v>
      </c>
      <c r="B22" s="1">
        <f t="shared" si="1"/>
        <v>488.0697852717567</v>
      </c>
    </row>
    <row r="23" spans="1:2" x14ac:dyDescent="0.2">
      <c r="A23" s="1">
        <v>20</v>
      </c>
      <c r="B23" s="1">
        <f t="shared" si="1"/>
        <v>491.56345167615251</v>
      </c>
    </row>
    <row r="24" spans="1:2" x14ac:dyDescent="0.2">
      <c r="A24" s="1">
        <v>21</v>
      </c>
      <c r="B24" s="1">
        <f t="shared" si="1"/>
        <v>494.05171096473441</v>
      </c>
    </row>
    <row r="25" spans="1:2" x14ac:dyDescent="0.2">
      <c r="A25" s="1">
        <v>22</v>
      </c>
      <c r="B25" s="1">
        <f t="shared" si="1"/>
        <v>495.81496838984583</v>
      </c>
    </row>
    <row r="26" spans="1:2" x14ac:dyDescent="0.2">
      <c r="A26" s="1">
        <v>23</v>
      </c>
      <c r="B26" s="1">
        <f t="shared" si="1"/>
        <v>497.0599691791453</v>
      </c>
    </row>
    <row r="27" spans="1:2" x14ac:dyDescent="0.2">
      <c r="A27" s="1">
        <v>24</v>
      </c>
      <c r="B27" s="1">
        <f t="shared" si="1"/>
        <v>497.93679215666515</v>
      </c>
    </row>
    <row r="28" spans="1:2" x14ac:dyDescent="0.2">
      <c r="A28" s="1">
        <v>25</v>
      </c>
      <c r="B28" s="1">
        <f t="shared" ref="B28:B30" si="2">B27+($D$1*B27)*(1-(B27/$B$1))</f>
        <v>498.55320041370271</v>
      </c>
    </row>
    <row r="29" spans="1:2" x14ac:dyDescent="0.2">
      <c r="A29" s="1">
        <v>26</v>
      </c>
      <c r="B29" s="1">
        <f t="shared" si="2"/>
        <v>498.98598435216616</v>
      </c>
    </row>
    <row r="30" spans="1:2" x14ac:dyDescent="0.2">
      <c r="A30" s="1">
        <v>27</v>
      </c>
      <c r="B30" s="1">
        <f t="shared" si="2"/>
        <v>499.28957210987585</v>
      </c>
    </row>
    <row r="31" spans="1:2" x14ac:dyDescent="0.2">
      <c r="A31" s="1">
        <v>28</v>
      </c>
      <c r="B31" s="1">
        <f t="shared" ref="B31:B32" si="3">B30+($D$1*B30)*(1-(B30/$B$1))</f>
        <v>499.50239765224086</v>
      </c>
    </row>
    <row r="32" spans="1:2" x14ac:dyDescent="0.2">
      <c r="A32" s="1">
        <v>29</v>
      </c>
      <c r="B32" s="1">
        <f t="shared" si="3"/>
        <v>499.65152979171069</v>
      </c>
    </row>
    <row r="33" spans="1:2" x14ac:dyDescent="0.2">
      <c r="A33" s="1">
        <v>30</v>
      </c>
      <c r="B33" s="1">
        <f t="shared" ref="B33:B35" si="4">B32+($D$1*B32)*(1-(B32/$B$1))</f>
        <v>499.75599799530585</v>
      </c>
    </row>
    <row r="34" spans="1:2" x14ac:dyDescent="0.2">
      <c r="A34" s="1">
        <v>31</v>
      </c>
      <c r="B34" s="1">
        <f t="shared" si="4"/>
        <v>499.82916287452713</v>
      </c>
    </row>
    <row r="35" spans="1:2" x14ac:dyDescent="0.2">
      <c r="A35" s="1">
        <v>32</v>
      </c>
      <c r="B35" s="1">
        <f t="shared" si="4"/>
        <v>499.88039650097494</v>
      </c>
    </row>
    <row r="36" spans="1:2" x14ac:dyDescent="0.2">
      <c r="A36" s="1">
        <v>33</v>
      </c>
      <c r="B36" s="1">
        <f t="shared" ref="B36:B42" si="5">B35+($D$1*B35)*(1-(B35/$B$1))</f>
        <v>499.91626896768429</v>
      </c>
    </row>
    <row r="37" spans="1:2" x14ac:dyDescent="0.2">
      <c r="A37" s="1">
        <v>34</v>
      </c>
      <c r="B37" s="1">
        <f t="shared" si="5"/>
        <v>499.94138407084756</v>
      </c>
    </row>
    <row r="38" spans="1:2" x14ac:dyDescent="0.2">
      <c r="A38" s="1">
        <v>35</v>
      </c>
      <c r="B38" s="1">
        <f t="shared" si="5"/>
        <v>499.95896678809703</v>
      </c>
    </row>
    <row r="39" spans="1:2" x14ac:dyDescent="0.2">
      <c r="A39" s="1">
        <v>36</v>
      </c>
      <c r="B39" s="1">
        <f t="shared" si="5"/>
        <v>499.9712757414332</v>
      </c>
    </row>
    <row r="40" spans="1:2" x14ac:dyDescent="0.2">
      <c r="A40" s="1">
        <v>37</v>
      </c>
      <c r="B40" s="1">
        <f t="shared" si="5"/>
        <v>499.97989252395342</v>
      </c>
    </row>
    <row r="41" spans="1:2" x14ac:dyDescent="0.2">
      <c r="A41" s="1">
        <v>38</v>
      </c>
      <c r="B41" s="1">
        <f t="shared" si="5"/>
        <v>499.98592452418103</v>
      </c>
    </row>
    <row r="42" spans="1:2" x14ac:dyDescent="0.2">
      <c r="A42" s="1">
        <v>39</v>
      </c>
      <c r="B42" s="1">
        <f t="shared" si="5"/>
        <v>499.99014704805529</v>
      </c>
    </row>
    <row r="43" spans="1:2" x14ac:dyDescent="0.2">
      <c r="A43" s="1">
        <v>40</v>
      </c>
      <c r="B43" s="1">
        <f t="shared" ref="B43:B51" si="6">B42+($D$1*B42)*(1-(B42/$B$1))</f>
        <v>499.99310287539032</v>
      </c>
    </row>
    <row r="44" spans="1:2" x14ac:dyDescent="0.2">
      <c r="A44" s="1">
        <v>41</v>
      </c>
      <c r="B44" s="1">
        <f t="shared" si="6"/>
        <v>499.99517198423104</v>
      </c>
    </row>
    <row r="45" spans="1:2" x14ac:dyDescent="0.2">
      <c r="A45" s="1">
        <v>42</v>
      </c>
      <c r="B45" s="1">
        <f t="shared" si="6"/>
        <v>499.99662037497586</v>
      </c>
    </row>
    <row r="46" spans="1:2" x14ac:dyDescent="0.2">
      <c r="A46" s="1">
        <v>43</v>
      </c>
      <c r="B46" s="1">
        <f t="shared" si="6"/>
        <v>499.99763425562998</v>
      </c>
    </row>
    <row r="47" spans="1:2" x14ac:dyDescent="0.2">
      <c r="A47" s="1">
        <v>44</v>
      </c>
      <c r="B47" s="1">
        <f t="shared" si="6"/>
        <v>499.99834397558294</v>
      </c>
    </row>
    <row r="48" spans="1:2" x14ac:dyDescent="0.2">
      <c r="A48" s="1">
        <v>45</v>
      </c>
      <c r="B48" s="1">
        <f t="shared" si="6"/>
        <v>499.99884078126263</v>
      </c>
    </row>
    <row r="49" spans="1:2" x14ac:dyDescent="0.2">
      <c r="A49" s="1">
        <v>46</v>
      </c>
      <c r="B49" s="1">
        <f t="shared" si="6"/>
        <v>499.99918854607756</v>
      </c>
    </row>
    <row r="50" spans="1:2" x14ac:dyDescent="0.2">
      <c r="A50" s="1">
        <v>47</v>
      </c>
      <c r="B50" s="1">
        <f t="shared" si="6"/>
        <v>499.99943198185923</v>
      </c>
    </row>
    <row r="51" spans="1:2" x14ac:dyDescent="0.2">
      <c r="A51" s="1">
        <v>48</v>
      </c>
      <c r="B51" s="1">
        <f t="shared" si="6"/>
        <v>499.99960238710787</v>
      </c>
    </row>
    <row r="52" spans="1:2" x14ac:dyDescent="0.2">
      <c r="A52" s="1">
        <v>49</v>
      </c>
      <c r="B52" s="1">
        <f t="shared" ref="B52:B57" si="7">B51+($D$1*B51)*(1-(B51/$B$1))</f>
        <v>499.99972167088066</v>
      </c>
    </row>
    <row r="53" spans="1:2" x14ac:dyDescent="0.2">
      <c r="A53" s="1">
        <v>50</v>
      </c>
      <c r="B53" s="1">
        <f t="shared" si="7"/>
        <v>499.99980516956998</v>
      </c>
    </row>
    <row r="54" spans="1:2" x14ac:dyDescent="0.2">
      <c r="A54" s="1">
        <v>51</v>
      </c>
      <c r="B54" s="1">
        <f t="shared" si="7"/>
        <v>499.99986361867622</v>
      </c>
    </row>
    <row r="55" spans="1:2" x14ac:dyDescent="0.2">
      <c r="A55" s="1">
        <v>52</v>
      </c>
      <c r="B55" s="1">
        <f t="shared" si="7"/>
        <v>499.99990453306219</v>
      </c>
    </row>
    <row r="56" spans="1:2" x14ac:dyDescent="0.2">
      <c r="A56" s="1">
        <v>53</v>
      </c>
      <c r="B56" s="1">
        <f t="shared" si="7"/>
        <v>499.99993317313806</v>
      </c>
    </row>
    <row r="57" spans="1:2" x14ac:dyDescent="0.2">
      <c r="A57" s="3">
        <v>54</v>
      </c>
      <c r="B57" s="3">
        <f t="shared" si="7"/>
        <v>499.99995322119395</v>
      </c>
    </row>
    <row r="58" spans="1:2" x14ac:dyDescent="0.2">
      <c r="A58" s="3">
        <v>55</v>
      </c>
      <c r="B58" s="3">
        <f t="shared" ref="B58:B72" si="8">B57+($D$1*B57)*(1-(B57/$B$1))</f>
        <v>499.99996725483447</v>
      </c>
    </row>
    <row r="59" spans="1:2" x14ac:dyDescent="0.2">
      <c r="A59" s="3">
        <v>56</v>
      </c>
      <c r="B59" s="3">
        <f t="shared" si="8"/>
        <v>499.99997707838349</v>
      </c>
    </row>
    <row r="60" spans="1:2" x14ac:dyDescent="0.2">
      <c r="A60" s="3">
        <v>57</v>
      </c>
      <c r="B60" s="3">
        <f t="shared" si="8"/>
        <v>499.99998395486813</v>
      </c>
    </row>
    <row r="61" spans="1:2" x14ac:dyDescent="0.2">
      <c r="A61" s="3">
        <v>58</v>
      </c>
      <c r="B61" s="3">
        <f t="shared" si="8"/>
        <v>499.99998876840755</v>
      </c>
    </row>
    <row r="62" spans="1:2" x14ac:dyDescent="0.2">
      <c r="A62" s="3">
        <v>59</v>
      </c>
      <c r="B62" s="3">
        <f t="shared" si="8"/>
        <v>499.99999213788522</v>
      </c>
    </row>
    <row r="63" spans="1:2" x14ac:dyDescent="0.2">
      <c r="A63" s="3">
        <v>60</v>
      </c>
      <c r="B63" s="3">
        <f t="shared" si="8"/>
        <v>499.99999449651961</v>
      </c>
    </row>
    <row r="64" spans="1:2" x14ac:dyDescent="0.2">
      <c r="A64" s="3">
        <v>61</v>
      </c>
      <c r="B64" s="3">
        <f t="shared" si="8"/>
        <v>499.99999614756371</v>
      </c>
    </row>
    <row r="65" spans="1:2" x14ac:dyDescent="0.2">
      <c r="A65" s="3">
        <v>62</v>
      </c>
      <c r="B65" s="3">
        <f t="shared" si="8"/>
        <v>499.99999730329461</v>
      </c>
    </row>
    <row r="66" spans="1:2" x14ac:dyDescent="0.2">
      <c r="A66" s="3">
        <v>63</v>
      </c>
      <c r="B66" s="3">
        <f t="shared" si="8"/>
        <v>499.99999811230623</v>
      </c>
    </row>
    <row r="67" spans="1:2" x14ac:dyDescent="0.2">
      <c r="A67" s="3">
        <v>64</v>
      </c>
      <c r="B67" s="3">
        <f t="shared" si="8"/>
        <v>499.99999867861436</v>
      </c>
    </row>
    <row r="68" spans="1:2" x14ac:dyDescent="0.2">
      <c r="A68" s="3">
        <v>65</v>
      </c>
      <c r="B68" s="3">
        <f t="shared" si="8"/>
        <v>499.99999907503002</v>
      </c>
    </row>
    <row r="69" spans="1:2" x14ac:dyDescent="0.2">
      <c r="A69" s="3">
        <v>66</v>
      </c>
      <c r="B69" s="3">
        <f t="shared" si="8"/>
        <v>499.999999352521</v>
      </c>
    </row>
    <row r="70" spans="1:2" x14ac:dyDescent="0.2">
      <c r="A70" s="3">
        <v>67</v>
      </c>
      <c r="B70" s="3">
        <f t="shared" si="8"/>
        <v>499.99999954676468</v>
      </c>
    </row>
    <row r="71" spans="1:2" x14ac:dyDescent="0.2">
      <c r="A71" s="3">
        <v>68</v>
      </c>
      <c r="B71" s="3">
        <f t="shared" si="8"/>
        <v>499.99999968273528</v>
      </c>
    </row>
    <row r="72" spans="1:2" x14ac:dyDescent="0.2">
      <c r="A72" s="3">
        <v>69</v>
      </c>
      <c r="B72" s="3">
        <f t="shared" si="8"/>
        <v>499.9999997779147</v>
      </c>
    </row>
    <row r="73" spans="1:2" x14ac:dyDescent="0.2">
      <c r="A73" s="3">
        <v>70</v>
      </c>
      <c r="B73" s="3">
        <f t="shared" ref="B73:B86" si="9">B72+($D$1*B72)*(1-(B72/$B$1))</f>
        <v>499.9999998445403</v>
      </c>
    </row>
    <row r="74" spans="1:2" x14ac:dyDescent="0.2">
      <c r="A74" s="3">
        <v>71</v>
      </c>
      <c r="B74" s="3">
        <f t="shared" si="9"/>
        <v>499.99999989117822</v>
      </c>
    </row>
    <row r="75" spans="1:2" x14ac:dyDescent="0.2">
      <c r="A75" s="3">
        <v>72</v>
      </c>
      <c r="B75" s="3">
        <f t="shared" si="9"/>
        <v>499.99999992382476</v>
      </c>
    </row>
    <row r="76" spans="1:2" x14ac:dyDescent="0.2">
      <c r="A76" s="3">
        <v>73</v>
      </c>
      <c r="B76" s="3">
        <f t="shared" si="9"/>
        <v>499.99999994667735</v>
      </c>
    </row>
    <row r="77" spans="1:2" x14ac:dyDescent="0.2">
      <c r="A77" s="2">
        <v>74</v>
      </c>
      <c r="B77" s="2">
        <f t="shared" si="9"/>
        <v>499.99999996267411</v>
      </c>
    </row>
    <row r="78" spans="1:2" x14ac:dyDescent="0.2">
      <c r="A78" s="2">
        <v>75</v>
      </c>
      <c r="B78" s="2">
        <f t="shared" si="9"/>
        <v>499.99999997387187</v>
      </c>
    </row>
    <row r="79" spans="1:2" x14ac:dyDescent="0.2">
      <c r="A79" s="2">
        <v>76</v>
      </c>
      <c r="B79" s="2">
        <f t="shared" si="9"/>
        <v>499.99999998171029</v>
      </c>
    </row>
    <row r="80" spans="1:2" x14ac:dyDescent="0.2">
      <c r="A80" s="2">
        <v>77</v>
      </c>
      <c r="B80" s="2">
        <f t="shared" si="9"/>
        <v>499.99999998719721</v>
      </c>
    </row>
    <row r="81" spans="1:2" x14ac:dyDescent="0.2">
      <c r="A81" s="2">
        <v>78</v>
      </c>
      <c r="B81" s="2">
        <f t="shared" si="9"/>
        <v>499.99999999103807</v>
      </c>
    </row>
    <row r="82" spans="1:2" x14ac:dyDescent="0.2">
      <c r="A82" s="2">
        <v>79</v>
      </c>
      <c r="B82" s="2">
        <f t="shared" si="9"/>
        <v>499.99999999372665</v>
      </c>
    </row>
    <row r="83" spans="1:2" x14ac:dyDescent="0.2">
      <c r="A83" s="2">
        <v>80</v>
      </c>
      <c r="B83" s="2">
        <f t="shared" si="9"/>
        <v>499.99999999560868</v>
      </c>
    </row>
    <row r="84" spans="1:2" x14ac:dyDescent="0.2">
      <c r="A84" s="3"/>
      <c r="B84" s="3"/>
    </row>
    <row r="85" spans="1:2" x14ac:dyDescent="0.2">
      <c r="A85" s="3"/>
      <c r="B85" s="3"/>
    </row>
    <row r="86" spans="1:2" x14ac:dyDescent="0.2">
      <c r="A86" s="3"/>
      <c r="B86" s="3"/>
    </row>
    <row r="87" spans="1:2" x14ac:dyDescent="0.2">
      <c r="A87" s="3"/>
      <c r="B87" s="3"/>
    </row>
    <row r="88" spans="1:2" x14ac:dyDescent="0.2">
      <c r="A88" s="3"/>
      <c r="B88" s="3"/>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2025-11-17T00:23:42Z</dcterms:created>
  <dcterms:modified xsi:type="dcterms:W3CDTF">2025-11-17T01:13:41Z</dcterms:modified>
</cp:coreProperties>
</file>